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mc:AlternateContent xmlns:mc="http://schemas.openxmlformats.org/markup-compatibility/2006">
    <mc:Choice Requires="x15">
      <x15ac:absPath xmlns:x15ac="http://schemas.microsoft.com/office/spreadsheetml/2010/11/ac" url="C:\Users\91626\Downloads\"/>
    </mc:Choice>
  </mc:AlternateContent>
  <xr:revisionPtr revIDLastSave="0" documentId="13_ncr:1_{D224C756-3E40-4CAE-94C6-C4FC08E21B67}" xr6:coauthVersionLast="47" xr6:coauthVersionMax="47" xr10:uidLastSave="{00000000-0000-0000-0000-000000000000}"/>
  <bookViews>
    <workbookView xWindow="-108" yWindow="-108" windowWidth="23256" windowHeight="12456" xr2:uid="{0165DBB3-7970-49BD-B1ED-9BC3EA9525D6}"/>
  </bookViews>
  <sheets>
    <sheet name="Dashboard" sheetId="1" r:id="rId1"/>
    <sheet name="Sheet2" sheetId="2" r:id="rId2"/>
    <sheet name="Workings" sheetId="3" r:id="rId3"/>
  </sheets>
  <definedNames>
    <definedName name="Slicer_Manager">#N/A</definedName>
    <definedName name="Slicer_Projets">#N/A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5" i="1" l="1" a="1"/>
  <c r="K5" i="1" s="1"/>
  <c r="F1" i="1"/>
  <c r="B5" i="3"/>
  <c r="B4" i="3"/>
  <c r="B3" i="3"/>
  <c r="H4" i="3"/>
  <c r="H5" i="3" l="1"/>
  <c r="B7" i="3"/>
  <c r="B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<sst xmlns="http://schemas.openxmlformats.org/spreadsheetml/2006/main" count="242" uniqueCount="52">
  <si>
    <t>Project Management Dashboard</t>
  </si>
  <si>
    <t>Task 1</t>
  </si>
  <si>
    <t>McFay</t>
  </si>
  <si>
    <t>Task 2</t>
  </si>
  <si>
    <t>Wood</t>
  </si>
  <si>
    <t>Task 3</t>
  </si>
  <si>
    <t>Ladd</t>
  </si>
  <si>
    <t>Task 4</t>
  </si>
  <si>
    <t>Hirsch</t>
  </si>
  <si>
    <t>Task 5</t>
  </si>
  <si>
    <t>Samora</t>
  </si>
  <si>
    <t>Task 6</t>
  </si>
  <si>
    <t>Task 7</t>
  </si>
  <si>
    <t>Task 8</t>
  </si>
  <si>
    <t>Task 9</t>
  </si>
  <si>
    <t>Task 10</t>
  </si>
  <si>
    <t>Grand Total</t>
  </si>
  <si>
    <t>A</t>
  </si>
  <si>
    <t>B</t>
  </si>
  <si>
    <t>C</t>
  </si>
  <si>
    <t>D</t>
  </si>
  <si>
    <t>E</t>
  </si>
  <si>
    <t>Projets</t>
  </si>
  <si>
    <t>Task</t>
  </si>
  <si>
    <t>Manager</t>
  </si>
  <si>
    <t>Start date</t>
  </si>
  <si>
    <t>End date</t>
  </si>
  <si>
    <t>Progress</t>
  </si>
  <si>
    <t>Budget</t>
  </si>
  <si>
    <t>Actual</t>
  </si>
  <si>
    <t>Duration</t>
  </si>
  <si>
    <t>Completed</t>
  </si>
  <si>
    <t>Days Completed</t>
  </si>
  <si>
    <t>budget1</t>
  </si>
  <si>
    <t>Actual1</t>
  </si>
  <si>
    <t>Not started</t>
  </si>
  <si>
    <t>In progress</t>
  </si>
  <si>
    <t>Remaining</t>
  </si>
  <si>
    <t>Total tasks</t>
  </si>
  <si>
    <t>Sum of Days Completed</t>
  </si>
  <si>
    <t>Sum of Duration</t>
  </si>
  <si>
    <t>Values</t>
  </si>
  <si>
    <t>Days completed</t>
  </si>
  <si>
    <t>Days remaining</t>
  </si>
  <si>
    <t>Budget1</t>
  </si>
  <si>
    <t>Bar Chart</t>
  </si>
  <si>
    <t>Doughnut Chart</t>
  </si>
  <si>
    <t>ELLIES</t>
  </si>
  <si>
    <t>JASONS</t>
  </si>
  <si>
    <t>HTARP</t>
  </si>
  <si>
    <t>HOOD</t>
  </si>
  <si>
    <t>JOEL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</si>
</sst>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M;\-0.0,,\M"/>
  </numFmts>
  <fonts count="4" x14ac:knownFonts="1">
    <font>
      <sz val="11"/>
      <color theme="1"/>
      <name val="Calibri"/>
      <family val="2"/>
      <scheme val="minor"/>
    </font>
    <font>
      <sz val="18"/>
      <color theme="3"/>
      <name val="Calibri Light"/>
      <family val="2"/>
      <scheme val="major"/>
    </font>
    <font>
      <sz val="8"/>
      <name val="Calibri"/>
      <family val="2"/>
      <scheme val="minor"/>
    </font>
    <font>
      <sz val="11"/>
      <color theme="1"/>
      <name val="Calibri"/>
      <family val="2"/>
      <scheme val="minor"/>
    </font>
  </fonts>
  <fills count="3">
    <fill>
      <patternFill patternType="none"/>
    </fill>
    <fill>
      <patternFill patternType="gray125"/>
    </fill>
    <fill>
      <patternFill patternType="solid">
        <fgColor theme="8" tint="0.39997558519241921"/>
        <bgColor indexed="65"/>
      </patternFill>
    </fill>
  </fills>
  <borders count="1">
    <border>
      <left/>
      <right/>
      <top/>
      <bottom/>
      <diagonal/>
    </border>
  </borders>
  <cellStyleXfs count="4">
    <xf numFmtId="0" fontId="0" fillId="0" borderId="0"/>
    <xf numFmtId="0" fontId="1" fillId="0" borderId="0" applyNumberFormat="0" applyFill="0" applyBorder="0" applyAlignment="0" applyProtection="0"/>
    <xf numFmtId="9" fontId="3" fillId="0" borderId="0" applyFont="0" applyFill="0" applyBorder="0" applyAlignment="0" applyProtection="0"/>
    <xf numFmtId="0" fontId="3" fillId="2" borderId="0" applyNumberFormat="0" applyBorder="0" applyAlignment="0" applyProtection="0"/>
  </cellStyleXfs>
  <cellXfs count="16">
    <xf numFmtId="0" fontId="0" fillId="0" borderId="0" xfId="0"/>
    <xf numFmtId="0" fontId="1" fillId="2" borderId="0" xfId="1" applyFill="1"/>
    <xf numFmtId="3" fontId="0" fillId="0" borderId="0" xfId="0" applyNumberFormat="1"/>
    <xf numFmtId="14" fontId="0" fillId="0" borderId="0" xfId="0" applyNumberFormat="1" applyAlignment="1">
      <alignment horizontal="center"/>
    </xf>
    <xf numFmtId="9" fontId="0" fillId="0" borderId="0" xfId="0" applyNumberFormat="1"/>
    <xf numFmtId="0" fontId="0" fillId="0" borderId="0" xfId="0" applyAlignment="1">
      <alignment horizontal="center"/>
    </xf>
    <xf numFmtId="14" fontId="0" fillId="0" borderId="0" xfId="0" applyNumberFormat="1"/>
    <xf numFmtId="0" fontId="0" fillId="0" borderId="0" xfId="0" pivotButton="1"/>
    <xf numFmtId="3" fontId="0" fillId="0" borderId="0" xfId="0" applyNumberFormat="1" applyAlignment="1">
      <alignment horizontal="center"/>
    </xf>
    <xf numFmtId="0" fontId="1" fillId="0" borderId="0" xfId="1"/>
    <xf numFmtId="0" fontId="0" fillId="0" borderId="0" xfId="0" applyAlignment="1">
      <alignment horizontal="left"/>
    </xf>
    <xf numFmtId="10" fontId="0" fillId="0" borderId="0" xfId="0" applyNumberFormat="1"/>
    <xf numFmtId="164" fontId="0" fillId="0" borderId="0" xfId="0" applyNumberFormat="1"/>
    <xf numFmtId="9" fontId="0" fillId="0" borderId="0" xfId="2" applyFont="1"/>
    <xf numFmtId="0" fontId="3" fillId="2" borderId="0" xfId="3"/>
    <xf numFmtId="16" fontId="0" fillId="0" borderId="0" xfId="0" applyNumberFormat="1"/>
  </cellXfs>
  <cellStyles count="4">
    <cellStyle name="60% - Accent5" xfId="3" builtinId="48"/>
    <cellStyle name="Normal" xfId="0" builtinId="0"/>
    <cellStyle name="Percent" xfId="2" builtinId="5"/>
    <cellStyle name="Title" xfId="1" builtinId="15"/>
  </cellStyles>
  <dxfs count="12">
    <dxf>
      <numFmt numFmtId="3" formatCode="#,##0"/>
    </dxf>
    <dxf>
      <numFmt numFmtId="3" formatCode="#,##0"/>
    </dxf>
    <dxf>
      <numFmt numFmtId="13" formatCode="0%"/>
    </dxf>
    <dxf>
      <numFmt numFmtId="3" formatCode="#,##0"/>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fill>
        <patternFill patternType="darkUp"/>
      </fill>
    </dxf>
    <dxf>
      <fill>
        <patternFill>
          <bgColor theme="8" tint="0.79998168889431442"/>
        </patternFill>
      </fill>
    </dxf>
    <dxf>
      <fill>
        <patternFill>
          <bgColor theme="4" tint="0.39994506668294322"/>
        </patternFill>
      </fill>
      <border>
        <left style="thin">
          <color auto="1"/>
        </left>
        <right style="thin">
          <color auto="1"/>
        </right>
        <vertical/>
        <horizontal/>
      </border>
    </dxf>
    <dxf>
      <font>
        <b/>
        <color theme="1"/>
      </font>
      <border>
        <bottom style="thin">
          <color theme="8"/>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No Border" pivot="0" table="0" count="2" xr9:uid="{4FA81349-4B6E-4BB7-9C68-9A3EFD548029}">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OVERALL</a:t>
            </a:r>
            <a:r>
              <a:rPr lang="en-IN" baseline="0"/>
              <a:t> TASK PROGRESS</a:t>
            </a:r>
            <a:endParaRPr lang="en-IN"/>
          </a:p>
        </c:rich>
      </c:tx>
      <c:layout>
        <c:manualLayout>
          <c:xMode val="edge"/>
          <c:yMode val="edge"/>
          <c:x val="3.9045892748394199E-3"/>
          <c:y val="1.20561982066898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Workings!$A$3</c:f>
              <c:strCache>
                <c:ptCount val="1"/>
                <c:pt idx="0">
                  <c:v>Not started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Workings!$B$3</c:f>
              <c:numCache>
                <c:formatCode>General</c:formatCode>
                <c:ptCount val="1"/>
                <c:pt idx="0">
                  <c:v>4</c:v>
                </c:pt>
              </c:numCache>
            </c:numRef>
          </c:val>
          <c:extLst>
            <c:ext xmlns:c16="http://schemas.microsoft.com/office/drawing/2014/chart" uri="{C3380CC4-5D6E-409C-BE32-E72D297353CC}">
              <c16:uniqueId val="{00000000-9263-4762-BDFA-A900C94847B8}"/>
            </c:ext>
          </c:extLst>
        </c:ser>
        <c:ser>
          <c:idx val="1"/>
          <c:order val="1"/>
          <c:tx>
            <c:strRef>
              <c:f>Workings!$A$4</c:f>
              <c:strCache>
                <c:ptCount val="1"/>
                <c:pt idx="0">
                  <c:v>In progress</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Workings!$B$4</c:f>
              <c:numCache>
                <c:formatCode>General</c:formatCode>
                <c:ptCount val="1"/>
                <c:pt idx="0">
                  <c:v>33</c:v>
                </c:pt>
              </c:numCache>
            </c:numRef>
          </c:val>
          <c:extLst>
            <c:ext xmlns:c16="http://schemas.microsoft.com/office/drawing/2014/chart" uri="{C3380CC4-5D6E-409C-BE32-E72D297353CC}">
              <c16:uniqueId val="{00000001-9263-4762-BDFA-A900C94847B8}"/>
            </c:ext>
          </c:extLst>
        </c:ser>
        <c:ser>
          <c:idx val="2"/>
          <c:order val="2"/>
          <c:tx>
            <c:strRef>
              <c:f>Workings!$A$5</c:f>
              <c:strCache>
                <c:ptCount val="1"/>
                <c:pt idx="0">
                  <c:v>Completed</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Workings!$B$5</c:f>
              <c:numCache>
                <c:formatCode>General</c:formatCode>
                <c:ptCount val="1"/>
                <c:pt idx="0">
                  <c:v>3</c:v>
                </c:pt>
              </c:numCache>
            </c:numRef>
          </c:val>
          <c:extLst>
            <c:ext xmlns:c16="http://schemas.microsoft.com/office/drawing/2014/chart" uri="{C3380CC4-5D6E-409C-BE32-E72D297353CC}">
              <c16:uniqueId val="{00000002-9263-4762-BDFA-A900C94847B8}"/>
            </c:ext>
          </c:extLst>
        </c:ser>
        <c:dLbls>
          <c:dLblPos val="ctr"/>
          <c:showLegendKey val="0"/>
          <c:showVal val="1"/>
          <c:showCatName val="0"/>
          <c:showSerName val="0"/>
          <c:showPercent val="0"/>
          <c:showBubbleSize val="0"/>
        </c:dLbls>
        <c:gapWidth val="0"/>
        <c:overlap val="100"/>
        <c:axId val="39078719"/>
        <c:axId val="39083711"/>
      </c:barChart>
      <c:catAx>
        <c:axId val="39078719"/>
        <c:scaling>
          <c:orientation val="minMax"/>
        </c:scaling>
        <c:delete val="1"/>
        <c:axPos val="l"/>
        <c:numFmt formatCode="General" sourceLinked="1"/>
        <c:majorTickMark val="none"/>
        <c:minorTickMark val="none"/>
        <c:tickLblPos val="nextTo"/>
        <c:crossAx val="39083711"/>
        <c:crosses val="autoZero"/>
        <c:auto val="1"/>
        <c:lblAlgn val="ctr"/>
        <c:lblOffset val="100"/>
        <c:noMultiLvlLbl val="0"/>
      </c:catAx>
      <c:valAx>
        <c:axId val="39083711"/>
        <c:scaling>
          <c:orientation val="minMax"/>
        </c:scaling>
        <c:delete val="1"/>
        <c:axPos val="b"/>
        <c:numFmt formatCode="General" sourceLinked="1"/>
        <c:majorTickMark val="none"/>
        <c:minorTickMark val="none"/>
        <c:tickLblPos val="nextTo"/>
        <c:crossAx val="390787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201825409799613"/>
          <c:y val="0.3767201270325331"/>
          <c:w val="0.46391802942928384"/>
          <c:h val="0.6232798729674669"/>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EE-4188-97B9-7339F2DCC9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EE-4188-97B9-7339F2DCC915}"/>
              </c:ext>
            </c:extLst>
          </c:dPt>
          <c:cat>
            <c:strRef>
              <c:f>Workings!$G$4:$G$5</c:f>
              <c:strCache>
                <c:ptCount val="2"/>
                <c:pt idx="0">
                  <c:v>Days completed</c:v>
                </c:pt>
                <c:pt idx="1">
                  <c:v>Days remaining</c:v>
                </c:pt>
              </c:strCache>
            </c:strRef>
          </c:cat>
          <c:val>
            <c:numRef>
              <c:f>Workings!$H$4:$H$5</c:f>
              <c:numCache>
                <c:formatCode>0.00%</c:formatCode>
                <c:ptCount val="2"/>
                <c:pt idx="0">
                  <c:v>0.42105263157894735</c:v>
                </c:pt>
                <c:pt idx="1">
                  <c:v>0.57894736842105265</c:v>
                </c:pt>
              </c:numCache>
            </c:numRef>
          </c:val>
          <c:extLst>
            <c:ext xmlns:c16="http://schemas.microsoft.com/office/drawing/2014/chart" uri="{C3380CC4-5D6E-409C-BE32-E72D297353CC}">
              <c16:uniqueId val="{00000004-03EE-4188-97B9-7339F2DCC915}"/>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a:t>Budget Spent</a:t>
            </a:r>
          </a:p>
        </c:rich>
      </c:tx>
      <c:layout>
        <c:manualLayout>
          <c:xMode val="edge"/>
          <c:yMode val="edge"/>
          <c:x val="0.21127343749999997"/>
          <c:y val="2.86036036036036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57-4705-8032-AD3030ACCE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57-4705-8032-AD3030ACCE44}"/>
              </c:ext>
            </c:extLst>
          </c:dPt>
          <c:val>
            <c:numRef>
              <c:f>Workings!$K$5:$L$5</c:f>
              <c:numCache>
                <c:formatCode>0%</c:formatCode>
                <c:ptCount val="2"/>
                <c:pt idx="0">
                  <c:v>0.42</c:v>
                </c:pt>
                <c:pt idx="1">
                  <c:v>0.57999999999999996</c:v>
                </c:pt>
              </c:numCache>
            </c:numRef>
          </c:val>
          <c:extLst>
            <c:ext xmlns:c16="http://schemas.microsoft.com/office/drawing/2014/chart" uri="{C3380CC4-5D6E-409C-BE32-E72D297353CC}">
              <c16:uniqueId val="{00000004-8357-4705-8032-AD3030ACCE4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MANAGEMENT DASHBOARD VBA.xlsm]Workings!PivotTable2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Budget</a:t>
            </a:r>
            <a:r>
              <a:rPr lang="en-IN" baseline="0"/>
              <a:t> vs Actual</a:t>
            </a:r>
            <a:endParaRPr lang="en-IN"/>
          </a:p>
        </c:rich>
      </c:tx>
      <c:layout>
        <c:manualLayout>
          <c:xMode val="edge"/>
          <c:yMode val="edge"/>
          <c:x val="4.0110185185185207E-2"/>
          <c:y val="0.217192192192192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Workings!$K$3</c:f>
              <c:strCache>
                <c:ptCount val="1"/>
                <c:pt idx="0">
                  <c:v>Actual1</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592F-45DF-B637-F15D1129B237}"/>
              </c:ext>
            </c:extLst>
          </c:dPt>
          <c:dLbls>
            <c:dLbl>
              <c:idx val="0"/>
              <c:dLblPos val="outEnd"/>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592F-45DF-B637-F15D1129B23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Workings!$K$4</c:f>
              <c:strCache>
                <c:ptCount val="1"/>
                <c:pt idx="0">
                  <c:v>Total</c:v>
                </c:pt>
              </c:strCache>
            </c:strRef>
          </c:cat>
          <c:val>
            <c:numRef>
              <c:f>Workings!$K$4</c:f>
              <c:numCache>
                <c:formatCode>0.0,,\M;\-0.0,,\M</c:formatCode>
                <c:ptCount val="1"/>
                <c:pt idx="0">
                  <c:v>8340291</c:v>
                </c:pt>
              </c:numCache>
            </c:numRef>
          </c:val>
          <c:extLst>
            <c:ext xmlns:c16="http://schemas.microsoft.com/office/drawing/2014/chart" uri="{C3380CC4-5D6E-409C-BE32-E72D297353CC}">
              <c16:uniqueId val="{00000001-592F-45DF-B637-F15D1129B237}"/>
            </c:ext>
          </c:extLst>
        </c:ser>
        <c:ser>
          <c:idx val="1"/>
          <c:order val="1"/>
          <c:tx>
            <c:strRef>
              <c:f>Workings!$L$3</c:f>
              <c:strCache>
                <c:ptCount val="1"/>
                <c:pt idx="0">
                  <c:v>Budget1</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2-592F-45DF-B637-F15D1129B237}"/>
              </c:ext>
            </c:extLst>
          </c:dPt>
          <c:dLbls>
            <c:dLbl>
              <c:idx val="0"/>
              <c:dLblPos val="outEnd"/>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592F-45DF-B637-F15D1129B23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Workings!$K$4</c:f>
              <c:strCache>
                <c:ptCount val="1"/>
                <c:pt idx="0">
                  <c:v>Total</c:v>
                </c:pt>
              </c:strCache>
            </c:strRef>
          </c:cat>
          <c:val>
            <c:numRef>
              <c:f>Workings!$L$4</c:f>
              <c:numCache>
                <c:formatCode>0.0,,\M;\-0.0,,\M</c:formatCode>
                <c:ptCount val="1"/>
                <c:pt idx="0">
                  <c:v>19695000</c:v>
                </c:pt>
              </c:numCache>
            </c:numRef>
          </c:val>
          <c:extLst>
            <c:ext xmlns:c16="http://schemas.microsoft.com/office/drawing/2014/chart" uri="{C3380CC4-5D6E-409C-BE32-E72D297353CC}">
              <c16:uniqueId val="{00000003-592F-45DF-B637-F15D1129B237}"/>
            </c:ext>
          </c:extLst>
        </c:ser>
        <c:dLbls>
          <c:dLblPos val="outEnd"/>
          <c:showLegendKey val="0"/>
          <c:showVal val="1"/>
          <c:showCatName val="0"/>
          <c:showSerName val="0"/>
          <c:showPercent val="0"/>
          <c:showBubbleSize val="0"/>
        </c:dLbls>
        <c:gapWidth val="0"/>
        <c:overlap val="-30"/>
        <c:axId val="1137745263"/>
        <c:axId val="1137742767"/>
      </c:barChart>
      <c:catAx>
        <c:axId val="1137745263"/>
        <c:scaling>
          <c:orientation val="minMax"/>
        </c:scaling>
        <c:delete val="1"/>
        <c:axPos val="l"/>
        <c:numFmt formatCode="General" sourceLinked="1"/>
        <c:majorTickMark val="none"/>
        <c:minorTickMark val="none"/>
        <c:tickLblPos val="nextTo"/>
        <c:crossAx val="1137742767"/>
        <c:crosses val="autoZero"/>
        <c:auto val="1"/>
        <c:lblAlgn val="ctr"/>
        <c:lblOffset val="100"/>
        <c:noMultiLvlLbl val="0"/>
      </c:catAx>
      <c:valAx>
        <c:axId val="1137742767"/>
        <c:scaling>
          <c:orientation val="minMax"/>
        </c:scaling>
        <c:delete val="1"/>
        <c:axPos val="b"/>
        <c:numFmt formatCode="0.0,,\M;\-0.0,,\M" sourceLinked="1"/>
        <c:majorTickMark val="none"/>
        <c:minorTickMark val="none"/>
        <c:tickLblPos val="nextTo"/>
        <c:crossAx val="113774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Workings!$G$9" horiz="1" max="30" page="7"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435428</xdr:colOff>
      <xdr:row>0</xdr:row>
      <xdr:rowOff>27215</xdr:rowOff>
    </xdr:from>
    <xdr:to>
      <xdr:col>18</xdr:col>
      <xdr:colOff>471714</xdr:colOff>
      <xdr:row>4</xdr:row>
      <xdr:rowOff>27214</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263071</xdr:colOff>
      <xdr:row>0</xdr:row>
      <xdr:rowOff>0</xdr:rowOff>
    </xdr:from>
    <xdr:to>
      <xdr:col>12</xdr:col>
      <xdr:colOff>36287</xdr:colOff>
      <xdr:row>3</xdr:row>
      <xdr:rowOff>290286</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353786</xdr:colOff>
      <xdr:row>0</xdr:row>
      <xdr:rowOff>0</xdr:rowOff>
    </xdr:from>
    <xdr:to>
      <xdr:col>19</xdr:col>
      <xdr:colOff>317500</xdr:colOff>
      <xdr:row>4</xdr:row>
      <xdr:rowOff>81641</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290285</xdr:colOff>
      <xdr:row>0</xdr:row>
      <xdr:rowOff>0</xdr:rowOff>
    </xdr:from>
    <xdr:to>
      <xdr:col>22</xdr:col>
      <xdr:colOff>635000</xdr:colOff>
      <xdr:row>4</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126999</xdr:colOff>
      <xdr:row>1</xdr:row>
      <xdr:rowOff>128815</xdr:rowOff>
    </xdr:from>
    <xdr:to>
      <xdr:col>5</xdr:col>
      <xdr:colOff>199642</xdr:colOff>
      <xdr:row>3</xdr:row>
      <xdr:rowOff>190500</xdr:rowOff>
    </xdr:to>
    <mc:AlternateContent xmlns:mc="http://schemas.openxmlformats.org/markup-compatibility/2006" xmlns:a14="http://schemas.microsoft.com/office/drawing/2010/main">
      <mc:Choice Requires="a14">
        <xdr:graphicFrame macro="">
          <xdr:nvGraphicFramePr>
            <xdr:cNvPr id="9" name="Projet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Projets"/>
            </a:graphicData>
          </a:graphic>
        </xdr:graphicFrame>
      </mc:Choice>
      <mc:Fallback xmlns="">
        <xdr:sp macro="" textlink="">
          <xdr:nvSpPr>
            <xdr:cNvPr id="0" name=""/>
            <xdr:cNvSpPr>
              <a:spLocks noTextEdit="1"/>
            </xdr:cNvSpPr>
          </xdr:nvSpPr>
          <xdr:spPr>
            <a:xfrm>
              <a:off x="126999" y="428172"/>
              <a:ext cx="3420000" cy="660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426357</xdr:colOff>
      <xdr:row>1</xdr:row>
      <xdr:rowOff>117928</xdr:rowOff>
    </xdr:from>
    <xdr:to>
      <xdr:col>10</xdr:col>
      <xdr:colOff>45428</xdr:colOff>
      <xdr:row>3</xdr:row>
      <xdr:rowOff>190500</xdr:rowOff>
    </xdr:to>
    <mc:AlternateContent xmlns:mc="http://schemas.openxmlformats.org/markup-compatibility/2006" xmlns:a14="http://schemas.microsoft.com/office/drawing/2010/main">
      <mc:Choice Requires="a14">
        <xdr:graphicFrame macro="">
          <xdr:nvGraphicFramePr>
            <xdr:cNvPr id="10" name="Manager">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3773714" y="417285"/>
              <a:ext cx="3420000" cy="6712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228600</xdr:colOff>
          <xdr:row>0</xdr:row>
          <xdr:rowOff>83820</xdr:rowOff>
        </xdr:from>
        <xdr:to>
          <xdr:col>10</xdr:col>
          <xdr:colOff>15240</xdr:colOff>
          <xdr:row>0</xdr:row>
          <xdr:rowOff>243840</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0.42727</cdr:x>
      <cdr:y>0.23053</cdr:y>
    </cdr:from>
    <cdr:to>
      <cdr:x>1</cdr:x>
      <cdr:y>1</cdr:y>
    </cdr:to>
    <cdr:sp macro="" textlink="">
      <cdr:nvSpPr>
        <cdr:cNvPr id="2" name="TextBox 1">
          <a:extLst xmlns:a="http://schemas.openxmlformats.org/drawingml/2006/main">
            <a:ext uri="{FF2B5EF4-FFF2-40B4-BE49-F238E27FC236}">
              <a16:creationId xmlns:a16="http://schemas.microsoft.com/office/drawing/2014/main" id="{FCB29520-28F4-FB9F-767E-2F92D32E8EEA}"/>
            </a:ext>
          </a:extLst>
        </cdr:cNvPr>
        <cdr:cNvSpPr txBox="1"/>
      </cdr:nvSpPr>
      <cdr:spPr>
        <a:xfrm xmlns:a="http://schemas.openxmlformats.org/drawingml/2006/main">
          <a:off x="843644" y="87085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userShapes>
</file>

<file path=xl/drawings/drawing3.xml><?xml version="1.0" encoding="utf-8"?>
<c:userShapes xmlns:c="http://schemas.openxmlformats.org/drawingml/2006/chart">
  <cdr:relSizeAnchor xmlns:cdr="http://schemas.openxmlformats.org/drawingml/2006/chartDrawing">
    <cdr:from>
      <cdr:x>0.20625</cdr:x>
      <cdr:y>0.31351</cdr:y>
    </cdr:from>
    <cdr:to>
      <cdr:x>1</cdr:x>
      <cdr:y>1</cdr:y>
    </cdr:to>
    <cdr:sp macro="" textlink="">
      <cdr:nvSpPr>
        <cdr:cNvPr id="2" name="TextBox 1">
          <a:extLst xmlns:a="http://schemas.openxmlformats.org/drawingml/2006/main">
            <a:ext uri="{FF2B5EF4-FFF2-40B4-BE49-F238E27FC236}">
              <a16:creationId xmlns:a16="http://schemas.microsoft.com/office/drawing/2014/main" id="{F4885E7D-587A-D43A-ACE9-12968737B312}"/>
            </a:ext>
          </a:extLst>
        </cdr:cNvPr>
        <cdr:cNvSpPr txBox="1"/>
      </cdr:nvSpPr>
      <cdr:spPr>
        <a:xfrm xmlns:a="http://schemas.openxmlformats.org/drawingml/2006/main">
          <a:off x="571500" y="825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addha ade" refreshedDate="44909.950094675929" createdVersion="8" refreshedVersion="8" minRefreshableVersion="3" recordCount="40" xr:uid="{66F0D581-3F22-4ED9-901F-22F3DA2607E8}">
  <cacheSource type="worksheet">
    <worksheetSource name="Table14"/>
  </cacheSource>
  <cacheFields count="10">
    <cacheField name="Projets" numFmtId="0">
      <sharedItems count="5">
        <s v="A"/>
        <s v="B"/>
        <s v="C"/>
        <s v="D"/>
        <s v="E"/>
      </sharedItems>
    </cacheField>
    <cacheField name="Task" numFmtId="0">
      <sharedItems count="10">
        <s v="Task 1"/>
        <s v="Task 2"/>
        <s v="Task 3"/>
        <s v="Task 4"/>
        <s v="Task 5"/>
        <s v="Task 6"/>
        <s v="Task 7"/>
        <s v="Task 8"/>
        <s v="Task 9"/>
        <s v="Task 10"/>
      </sharedItems>
    </cacheField>
    <cacheField name="Manager" numFmtId="0">
      <sharedItems count="5">
        <s v="McFay"/>
        <s v="Wood"/>
        <s v="Ladd"/>
        <s v="Hirsch"/>
        <s v="Samora"/>
      </sharedItems>
    </cacheField>
    <cacheField name="End date" numFmtId="14">
      <sharedItems containsSemiMixedTypes="0" containsNonDate="0" containsDate="1" containsString="0" minDate="2021-01-08T00:00:00" maxDate="2021-02-17T00:00:00" count="4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sharedItems>
    </cacheField>
    <cacheField name="Duration" numFmtId="0">
      <sharedItems containsSemiMixedTypes="0" containsString="0" containsNumber="1" containsInteger="1" minValue="3" maxValue="10" count="8">
        <n v="8"/>
        <n v="9"/>
        <n v="5"/>
        <n v="3"/>
        <n v="7"/>
        <n v="10"/>
        <n v="4"/>
        <n v="6"/>
      </sharedItems>
    </cacheField>
    <cacheField name="Start date" numFmtId="14">
      <sharedItems containsSemiMixedTypes="0" containsNonDate="0" containsDate="1" containsString="0" minDate="2021-01-03T00:00:00" maxDate="2021-02-12T00:00:00" count="4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sharedItems>
    </cacheField>
    <cacheField name="Days Completed" numFmtId="3">
      <sharedItems containsSemiMixedTypes="0" containsString="0" containsNumber="1" containsInteger="1" minValue="0" maxValue="8" count="8">
        <n v="3"/>
        <n v="4"/>
        <n v="2"/>
        <n v="0"/>
        <n v="8"/>
        <n v="5"/>
        <n v="1"/>
        <n v="7"/>
      </sharedItems>
    </cacheField>
    <cacheField name="Progress" numFmtId="9">
      <sharedItems containsSemiMixedTypes="0" containsString="0" containsNumber="1" minValue="0" maxValue="1" count="19">
        <n v="0.375"/>
        <n v="0.44444444444444442"/>
        <n v="0.6"/>
        <n v="1"/>
        <n v="0.42857142857142855"/>
        <n v="0.2"/>
        <n v="0.3"/>
        <n v="0"/>
        <n v="0.88888888888888884"/>
        <n v="0.625"/>
        <n v="0.5"/>
        <n v="0.4"/>
        <n v="0.33333333333333331"/>
        <n v="0.25"/>
        <n v="0.1111111111111111"/>
        <n v="0.83333333333333337"/>
        <n v="0.8"/>
        <n v="0.2857142857142857"/>
        <n v="0.66666666666666663"/>
      </sharedItems>
    </cacheField>
    <cacheField name="Budget" numFmtId="3">
      <sharedItems containsSemiMixedTypes="0" containsString="0" containsNumber="1" containsInteger="1" minValue="50000" maxValue="990000" count="40">
        <n v="96000"/>
        <n v="513000"/>
        <n v="616000"/>
        <n v="817000"/>
        <n v="372000"/>
        <n v="50000"/>
        <n v="807000"/>
        <n v="691000"/>
        <n v="787000"/>
        <n v="228000"/>
        <n v="147000"/>
        <n v="338000"/>
        <n v="857000"/>
        <n v="602000"/>
        <n v="990000"/>
        <n v="218000"/>
        <n v="393000"/>
        <n v="86000"/>
        <n v="732000"/>
        <n v="492000"/>
        <n v="188000"/>
        <n v="180000"/>
        <n v="582000"/>
        <n v="562000"/>
        <n v="416000"/>
        <n v="293000"/>
        <n v="224000"/>
        <n v="978000"/>
        <n v="932000"/>
        <n v="854000"/>
        <n v="81000"/>
        <n v="169000"/>
        <n v="61000"/>
        <n v="645000"/>
        <n v="68000"/>
        <n v="839000"/>
        <n v="729000"/>
        <n v="826000"/>
        <n v="895000"/>
        <n v="341000"/>
      </sharedItems>
    </cacheField>
    <cacheField name="Actual" numFmtId="3">
      <sharedItems containsSemiMixedTypes="0" containsString="0" containsNumber="1" containsInteger="1" minValue="0" maxValue="807069"/>
    </cacheField>
  </cacheFields>
  <extLst>
    <ext xmlns:x14="http://schemas.microsoft.com/office/spreadsheetml/2009/9/main" uri="{725AE2AE-9491-48be-B2B4-4EB974FC3084}">
      <x14:pivotCacheDefinition pivotCacheId="18374809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x v="0"/>
    <x v="0"/>
    <x v="0"/>
    <x v="0"/>
    <x v="0"/>
    <n v="32256"/>
  </r>
  <r>
    <x v="0"/>
    <x v="1"/>
    <x v="1"/>
    <x v="1"/>
    <x v="1"/>
    <x v="1"/>
    <x v="1"/>
    <x v="1"/>
    <x v="1"/>
    <n v="226233"/>
  </r>
  <r>
    <x v="0"/>
    <x v="2"/>
    <x v="2"/>
    <x v="2"/>
    <x v="2"/>
    <x v="2"/>
    <x v="0"/>
    <x v="2"/>
    <x v="2"/>
    <n v="401579"/>
  </r>
  <r>
    <x v="0"/>
    <x v="3"/>
    <x v="3"/>
    <x v="3"/>
    <x v="3"/>
    <x v="3"/>
    <x v="0"/>
    <x v="3"/>
    <x v="3"/>
    <n v="807069"/>
  </r>
  <r>
    <x v="0"/>
    <x v="4"/>
    <x v="4"/>
    <x v="4"/>
    <x v="4"/>
    <x v="4"/>
    <x v="0"/>
    <x v="4"/>
    <x v="4"/>
    <n v="173166"/>
  </r>
  <r>
    <x v="0"/>
    <x v="5"/>
    <x v="0"/>
    <x v="5"/>
    <x v="5"/>
    <x v="5"/>
    <x v="2"/>
    <x v="5"/>
    <x v="5"/>
    <n v="8400"/>
  </r>
  <r>
    <x v="0"/>
    <x v="6"/>
    <x v="1"/>
    <x v="6"/>
    <x v="5"/>
    <x v="6"/>
    <x v="0"/>
    <x v="6"/>
    <x v="6"/>
    <n v="262679"/>
  </r>
  <r>
    <x v="0"/>
    <x v="7"/>
    <x v="2"/>
    <x v="7"/>
    <x v="3"/>
    <x v="7"/>
    <x v="3"/>
    <x v="7"/>
    <x v="7"/>
    <n v="0"/>
  </r>
  <r>
    <x v="1"/>
    <x v="0"/>
    <x v="3"/>
    <x v="8"/>
    <x v="1"/>
    <x v="8"/>
    <x v="4"/>
    <x v="8"/>
    <x v="8"/>
    <n v="727188"/>
  </r>
  <r>
    <x v="1"/>
    <x v="1"/>
    <x v="4"/>
    <x v="9"/>
    <x v="5"/>
    <x v="9"/>
    <x v="2"/>
    <x v="5"/>
    <x v="9"/>
    <n v="47880"/>
  </r>
  <r>
    <x v="1"/>
    <x v="2"/>
    <x v="0"/>
    <x v="10"/>
    <x v="6"/>
    <x v="10"/>
    <x v="3"/>
    <x v="7"/>
    <x v="10"/>
    <n v="0"/>
  </r>
  <r>
    <x v="1"/>
    <x v="3"/>
    <x v="1"/>
    <x v="11"/>
    <x v="0"/>
    <x v="11"/>
    <x v="5"/>
    <x v="9"/>
    <x v="11"/>
    <n v="205123"/>
  </r>
  <r>
    <x v="1"/>
    <x v="4"/>
    <x v="2"/>
    <x v="12"/>
    <x v="5"/>
    <x v="12"/>
    <x v="0"/>
    <x v="6"/>
    <x v="12"/>
    <n v="305949"/>
  </r>
  <r>
    <x v="1"/>
    <x v="5"/>
    <x v="3"/>
    <x v="13"/>
    <x v="7"/>
    <x v="13"/>
    <x v="0"/>
    <x v="10"/>
    <x v="13"/>
    <n v="322371"/>
  </r>
  <r>
    <x v="1"/>
    <x v="6"/>
    <x v="4"/>
    <x v="14"/>
    <x v="6"/>
    <x v="14"/>
    <x v="2"/>
    <x v="10"/>
    <x v="14"/>
    <n v="451440"/>
  </r>
  <r>
    <x v="2"/>
    <x v="0"/>
    <x v="3"/>
    <x v="15"/>
    <x v="2"/>
    <x v="15"/>
    <x v="2"/>
    <x v="11"/>
    <x v="15"/>
    <n v="97337"/>
  </r>
  <r>
    <x v="2"/>
    <x v="1"/>
    <x v="4"/>
    <x v="16"/>
    <x v="7"/>
    <x v="16"/>
    <x v="0"/>
    <x v="10"/>
    <x v="16"/>
    <n v="177440"/>
  </r>
  <r>
    <x v="2"/>
    <x v="2"/>
    <x v="0"/>
    <x v="17"/>
    <x v="5"/>
    <x v="17"/>
    <x v="1"/>
    <x v="11"/>
    <x v="17"/>
    <n v="31046"/>
  </r>
  <r>
    <x v="2"/>
    <x v="3"/>
    <x v="1"/>
    <x v="18"/>
    <x v="1"/>
    <x v="18"/>
    <x v="0"/>
    <x v="12"/>
    <x v="18"/>
    <n v="261324"/>
  </r>
  <r>
    <x v="2"/>
    <x v="4"/>
    <x v="2"/>
    <x v="19"/>
    <x v="6"/>
    <x v="19"/>
    <x v="6"/>
    <x v="13"/>
    <x v="19"/>
    <n v="116850"/>
  </r>
  <r>
    <x v="2"/>
    <x v="5"/>
    <x v="3"/>
    <x v="20"/>
    <x v="7"/>
    <x v="20"/>
    <x v="3"/>
    <x v="7"/>
    <x v="20"/>
    <n v="0"/>
  </r>
  <r>
    <x v="2"/>
    <x v="6"/>
    <x v="4"/>
    <x v="21"/>
    <x v="4"/>
    <x v="21"/>
    <x v="0"/>
    <x v="4"/>
    <x v="21"/>
    <n v="79380"/>
  </r>
  <r>
    <x v="2"/>
    <x v="7"/>
    <x v="0"/>
    <x v="22"/>
    <x v="2"/>
    <x v="22"/>
    <x v="2"/>
    <x v="11"/>
    <x v="22"/>
    <n v="195231"/>
  </r>
  <r>
    <x v="2"/>
    <x v="8"/>
    <x v="1"/>
    <x v="23"/>
    <x v="1"/>
    <x v="23"/>
    <x v="6"/>
    <x v="14"/>
    <x v="23"/>
    <n v="74746"/>
  </r>
  <r>
    <x v="2"/>
    <x v="9"/>
    <x v="2"/>
    <x v="24"/>
    <x v="7"/>
    <x v="24"/>
    <x v="0"/>
    <x v="10"/>
    <x v="24"/>
    <n v="175015"/>
  </r>
  <r>
    <x v="3"/>
    <x v="0"/>
    <x v="3"/>
    <x v="25"/>
    <x v="4"/>
    <x v="25"/>
    <x v="7"/>
    <x v="3"/>
    <x v="25"/>
    <n v="273001"/>
  </r>
  <r>
    <x v="3"/>
    <x v="1"/>
    <x v="4"/>
    <x v="26"/>
    <x v="1"/>
    <x v="26"/>
    <x v="1"/>
    <x v="1"/>
    <x v="26"/>
    <n v="57910"/>
  </r>
  <r>
    <x v="3"/>
    <x v="2"/>
    <x v="0"/>
    <x v="27"/>
    <x v="0"/>
    <x v="27"/>
    <x v="3"/>
    <x v="7"/>
    <x v="27"/>
    <n v="0"/>
  </r>
  <r>
    <x v="3"/>
    <x v="3"/>
    <x v="1"/>
    <x v="28"/>
    <x v="4"/>
    <x v="28"/>
    <x v="0"/>
    <x v="4"/>
    <x v="28"/>
    <n v="379157"/>
  </r>
  <r>
    <x v="3"/>
    <x v="4"/>
    <x v="2"/>
    <x v="29"/>
    <x v="6"/>
    <x v="29"/>
    <x v="6"/>
    <x v="13"/>
    <x v="29"/>
    <n v="322812"/>
  </r>
  <r>
    <x v="3"/>
    <x v="5"/>
    <x v="3"/>
    <x v="30"/>
    <x v="7"/>
    <x v="30"/>
    <x v="0"/>
    <x v="10"/>
    <x v="30"/>
    <n v="38461"/>
  </r>
  <r>
    <x v="3"/>
    <x v="6"/>
    <x v="4"/>
    <x v="31"/>
    <x v="7"/>
    <x v="31"/>
    <x v="5"/>
    <x v="15"/>
    <x v="31"/>
    <n v="136468"/>
  </r>
  <r>
    <x v="3"/>
    <x v="7"/>
    <x v="0"/>
    <x v="32"/>
    <x v="6"/>
    <x v="32"/>
    <x v="6"/>
    <x v="13"/>
    <x v="32"/>
    <n v="12078"/>
  </r>
  <r>
    <x v="3"/>
    <x v="8"/>
    <x v="1"/>
    <x v="33"/>
    <x v="4"/>
    <x v="33"/>
    <x v="0"/>
    <x v="4"/>
    <x v="33"/>
    <n v="273048"/>
  </r>
  <r>
    <x v="3"/>
    <x v="9"/>
    <x v="2"/>
    <x v="34"/>
    <x v="3"/>
    <x v="34"/>
    <x v="0"/>
    <x v="3"/>
    <x v="34"/>
    <n v="64987"/>
  </r>
  <r>
    <x v="4"/>
    <x v="0"/>
    <x v="3"/>
    <x v="35"/>
    <x v="5"/>
    <x v="35"/>
    <x v="5"/>
    <x v="10"/>
    <x v="35"/>
    <n v="406974"/>
  </r>
  <r>
    <x v="4"/>
    <x v="1"/>
    <x v="4"/>
    <x v="36"/>
    <x v="2"/>
    <x v="36"/>
    <x v="1"/>
    <x v="16"/>
    <x v="36"/>
    <n v="487139"/>
  </r>
  <r>
    <x v="4"/>
    <x v="2"/>
    <x v="0"/>
    <x v="37"/>
    <x v="4"/>
    <x v="37"/>
    <x v="0"/>
    <x v="4"/>
    <x v="37"/>
    <n v="298186"/>
  </r>
  <r>
    <x v="4"/>
    <x v="3"/>
    <x v="1"/>
    <x v="38"/>
    <x v="4"/>
    <x v="38"/>
    <x v="2"/>
    <x v="17"/>
    <x v="38"/>
    <n v="280583"/>
  </r>
  <r>
    <x v="4"/>
    <x v="4"/>
    <x v="2"/>
    <x v="39"/>
    <x v="3"/>
    <x v="39"/>
    <x v="2"/>
    <x v="18"/>
    <x v="39"/>
    <n v="1297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FFE20C-983B-476C-B071-D382EEC84DDF}" name="PivotTable3" cacheId="0" applyNumberFormats="0" applyBorderFormats="0" applyFontFormats="0" applyPatternFormats="0" applyAlignmentFormats="0" applyWidthHeightFormats="1" dataCaption="Values" updatedVersion="8" minRefreshableVersion="3" showDrill="0" itemPrintTitles="1" createdVersion="8" indent="0" compact="0" compactData="0" multipleFieldFilters="0">
  <location ref="A5:J46" firstHeaderRow="0" firstDataRow="1" firstDataCol="8"/>
  <pivotFields count="10">
    <pivotField axis="axisRow" compact="0" outline="0" showAll="0" defaultSubtotal="0">
      <items count="5">
        <item x="0"/>
        <item x="1"/>
        <item x="2"/>
        <item x="3"/>
        <item x="4"/>
      </items>
    </pivotField>
    <pivotField axis="axisRow" compact="0" outline="0" showAll="0" defaultSubtotal="0">
      <items count="10">
        <item x="0"/>
        <item x="9"/>
        <item x="1"/>
        <item x="2"/>
        <item x="3"/>
        <item x="4"/>
        <item x="5"/>
        <item x="6"/>
        <item x="7"/>
        <item x="8"/>
      </items>
    </pivotField>
    <pivotField axis="axisRow" compact="0" outline="0" showAll="0" defaultSubtotal="0">
      <items count="5">
        <item n="ELLIES" x="3"/>
        <item n="JASONS" x="2"/>
        <item n="HTARP" x="0"/>
        <item n="HOOD" x="4"/>
        <item n="JOEL" x="1"/>
      </items>
    </pivotField>
    <pivotField axis="axisRow" compact="0" numFmtId="14" outline="0" showAll="0" defaultSubtota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pivotField>
    <pivotField axis="axisRow" compact="0" outline="0" showAll="0" defaultSubtotal="0">
      <items count="8">
        <item x="3"/>
        <item x="6"/>
        <item x="2"/>
        <item x="7"/>
        <item x="4"/>
        <item x="0"/>
        <item x="1"/>
        <item x="5"/>
      </items>
    </pivotField>
    <pivotField axis="axisRow" compact="0" numFmtId="14" outline="0" showAll="0" defaultSubtota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pivotField>
    <pivotField axis="axisRow" compact="0" numFmtId="3" outline="0" showAll="0" defaultSubtotal="0">
      <items count="8">
        <item x="3"/>
        <item x="6"/>
        <item x="2"/>
        <item x="0"/>
        <item x="1"/>
        <item x="5"/>
        <item x="7"/>
        <item x="4"/>
      </items>
    </pivotField>
    <pivotField axis="axisRow" compact="0" numFmtId="9" outline="0" showAll="0" defaultSubtotal="0">
      <items count="19">
        <item x="7"/>
        <item x="14"/>
        <item x="5"/>
        <item x="13"/>
        <item x="17"/>
        <item x="6"/>
        <item x="12"/>
        <item x="0"/>
        <item x="11"/>
        <item x="4"/>
        <item x="1"/>
        <item x="10"/>
        <item x="2"/>
        <item x="9"/>
        <item x="18"/>
        <item x="16"/>
        <item x="15"/>
        <item x="8"/>
        <item x="3"/>
      </items>
    </pivotField>
    <pivotField dataField="1" compact="0" numFmtId="3" outline="0" showAll="0" defaultSubtotal="0">
      <items count="40">
        <item x="5"/>
        <item x="32"/>
        <item x="34"/>
        <item x="30"/>
        <item x="17"/>
        <item x="0"/>
        <item x="10"/>
        <item x="31"/>
        <item x="21"/>
        <item x="20"/>
        <item x="15"/>
        <item x="26"/>
        <item x="9"/>
        <item x="25"/>
        <item x="11"/>
        <item x="39"/>
        <item x="4"/>
        <item x="16"/>
        <item x="24"/>
        <item x="19"/>
        <item x="1"/>
        <item x="23"/>
        <item x="22"/>
        <item x="13"/>
        <item x="2"/>
        <item x="33"/>
        <item x="7"/>
        <item x="36"/>
        <item x="18"/>
        <item x="8"/>
        <item x="6"/>
        <item x="3"/>
        <item x="37"/>
        <item x="35"/>
        <item x="29"/>
        <item x="12"/>
        <item x="38"/>
        <item x="28"/>
        <item x="27"/>
        <item x="14"/>
      </items>
    </pivotField>
    <pivotField dataField="1" compact="0" numFmtId="3" outline="0" showAll="0" defaultSubtotal="0"/>
  </pivotFields>
  <rowFields count="8">
    <field x="0"/>
    <field x="1"/>
    <field x="2"/>
    <field x="5"/>
    <field x="4"/>
    <field x="6"/>
    <field x="3"/>
    <field x="7"/>
  </rowFields>
  <rowItems count="41">
    <i>
      <x/>
      <x/>
      <x v="2"/>
      <x/>
      <x v="5"/>
      <x v="3"/>
      <x/>
      <x v="7"/>
    </i>
    <i r="1">
      <x v="2"/>
      <x v="4"/>
      <x v="1"/>
      <x v="6"/>
      <x v="4"/>
      <x v="1"/>
      <x v="10"/>
    </i>
    <i r="1">
      <x v="3"/>
      <x v="1"/>
      <x v="2"/>
      <x v="2"/>
      <x v="3"/>
      <x v="2"/>
      <x v="12"/>
    </i>
    <i r="1">
      <x v="4"/>
      <x/>
      <x v="3"/>
      <x/>
      <x v="3"/>
      <x v="3"/>
      <x v="18"/>
    </i>
    <i r="1">
      <x v="5"/>
      <x v="3"/>
      <x v="4"/>
      <x v="4"/>
      <x v="3"/>
      <x v="4"/>
      <x v="9"/>
    </i>
    <i r="1">
      <x v="6"/>
      <x v="2"/>
      <x v="5"/>
      <x v="7"/>
      <x v="2"/>
      <x v="5"/>
      <x v="2"/>
    </i>
    <i r="1">
      <x v="7"/>
      <x v="4"/>
      <x v="6"/>
      <x v="7"/>
      <x v="3"/>
      <x v="6"/>
      <x v="5"/>
    </i>
    <i r="1">
      <x v="8"/>
      <x v="1"/>
      <x v="7"/>
      <x/>
      <x/>
      <x v="7"/>
      <x/>
    </i>
    <i>
      <x v="1"/>
      <x/>
      <x/>
      <x v="8"/>
      <x v="6"/>
      <x v="7"/>
      <x v="8"/>
      <x v="17"/>
    </i>
    <i r="1">
      <x v="2"/>
      <x v="3"/>
      <x v="9"/>
      <x v="7"/>
      <x v="2"/>
      <x v="9"/>
      <x v="2"/>
    </i>
    <i r="1">
      <x v="3"/>
      <x v="2"/>
      <x v="10"/>
      <x v="1"/>
      <x/>
      <x v="10"/>
      <x/>
    </i>
    <i r="1">
      <x v="4"/>
      <x v="4"/>
      <x v="11"/>
      <x v="5"/>
      <x v="5"/>
      <x v="11"/>
      <x v="13"/>
    </i>
    <i r="1">
      <x v="5"/>
      <x v="1"/>
      <x v="12"/>
      <x v="7"/>
      <x v="3"/>
      <x v="12"/>
      <x v="5"/>
    </i>
    <i r="1">
      <x v="6"/>
      <x/>
      <x v="13"/>
      <x v="3"/>
      <x v="3"/>
      <x v="13"/>
      <x v="11"/>
    </i>
    <i r="1">
      <x v="7"/>
      <x v="3"/>
      <x v="14"/>
      <x v="1"/>
      <x v="2"/>
      <x v="14"/>
      <x v="11"/>
    </i>
    <i>
      <x v="2"/>
      <x/>
      <x/>
      <x v="15"/>
      <x v="2"/>
      <x v="2"/>
      <x v="15"/>
      <x v="8"/>
    </i>
    <i r="1">
      <x v="1"/>
      <x v="1"/>
      <x v="24"/>
      <x v="3"/>
      <x v="3"/>
      <x v="24"/>
      <x v="11"/>
    </i>
    <i r="1">
      <x v="2"/>
      <x v="3"/>
      <x v="16"/>
      <x v="3"/>
      <x v="3"/>
      <x v="16"/>
      <x v="11"/>
    </i>
    <i r="1">
      <x v="3"/>
      <x v="2"/>
      <x v="17"/>
      <x v="7"/>
      <x v="4"/>
      <x v="17"/>
      <x v="8"/>
    </i>
    <i r="1">
      <x v="4"/>
      <x v="4"/>
      <x v="18"/>
      <x v="6"/>
      <x v="3"/>
      <x v="18"/>
      <x v="6"/>
    </i>
    <i r="1">
      <x v="5"/>
      <x v="1"/>
      <x v="19"/>
      <x v="1"/>
      <x v="1"/>
      <x v="19"/>
      <x v="3"/>
    </i>
    <i r="1">
      <x v="6"/>
      <x/>
      <x v="20"/>
      <x v="3"/>
      <x/>
      <x v="20"/>
      <x/>
    </i>
    <i r="1">
      <x v="7"/>
      <x v="3"/>
      <x v="21"/>
      <x v="4"/>
      <x v="3"/>
      <x v="21"/>
      <x v="9"/>
    </i>
    <i r="1">
      <x v="8"/>
      <x v="2"/>
      <x v="22"/>
      <x v="2"/>
      <x v="2"/>
      <x v="22"/>
      <x v="8"/>
    </i>
    <i r="1">
      <x v="9"/>
      <x v="4"/>
      <x v="23"/>
      <x v="6"/>
      <x v="1"/>
      <x v="23"/>
      <x v="1"/>
    </i>
    <i>
      <x v="3"/>
      <x/>
      <x/>
      <x v="25"/>
      <x v="4"/>
      <x v="6"/>
      <x v="25"/>
      <x v="18"/>
    </i>
    <i r="1">
      <x v="1"/>
      <x v="1"/>
      <x v="34"/>
      <x/>
      <x v="3"/>
      <x v="34"/>
      <x v="18"/>
    </i>
    <i r="1">
      <x v="2"/>
      <x v="3"/>
      <x v="26"/>
      <x v="6"/>
      <x v="4"/>
      <x v="26"/>
      <x v="10"/>
    </i>
    <i r="1">
      <x v="3"/>
      <x v="2"/>
      <x v="27"/>
      <x v="5"/>
      <x/>
      <x v="27"/>
      <x/>
    </i>
    <i r="1">
      <x v="4"/>
      <x v="4"/>
      <x v="28"/>
      <x v="4"/>
      <x v="3"/>
      <x v="28"/>
      <x v="9"/>
    </i>
    <i r="1">
      <x v="5"/>
      <x v="1"/>
      <x v="29"/>
      <x v="1"/>
      <x v="1"/>
      <x v="29"/>
      <x v="3"/>
    </i>
    <i r="1">
      <x v="6"/>
      <x/>
      <x v="30"/>
      <x v="3"/>
      <x v="3"/>
      <x v="30"/>
      <x v="11"/>
    </i>
    <i r="1">
      <x v="7"/>
      <x v="3"/>
      <x v="31"/>
      <x v="3"/>
      <x v="5"/>
      <x v="31"/>
      <x v="16"/>
    </i>
    <i r="1">
      <x v="8"/>
      <x v="2"/>
      <x v="32"/>
      <x v="1"/>
      <x v="1"/>
      <x v="32"/>
      <x v="3"/>
    </i>
    <i r="1">
      <x v="9"/>
      <x v="4"/>
      <x v="33"/>
      <x v="4"/>
      <x v="3"/>
      <x v="33"/>
      <x v="9"/>
    </i>
    <i>
      <x v="4"/>
      <x/>
      <x/>
      <x v="35"/>
      <x v="7"/>
      <x v="5"/>
      <x v="35"/>
      <x v="11"/>
    </i>
    <i r="1">
      <x v="2"/>
      <x v="3"/>
      <x v="36"/>
      <x v="2"/>
      <x v="4"/>
      <x v="36"/>
      <x v="15"/>
    </i>
    <i r="1">
      <x v="3"/>
      <x v="2"/>
      <x v="37"/>
      <x v="4"/>
      <x v="3"/>
      <x v="37"/>
      <x v="9"/>
    </i>
    <i r="1">
      <x v="4"/>
      <x v="4"/>
      <x v="38"/>
      <x v="4"/>
      <x v="2"/>
      <x v="38"/>
      <x v="4"/>
    </i>
    <i r="1">
      <x v="5"/>
      <x v="1"/>
      <x v="39"/>
      <x/>
      <x v="2"/>
      <x v="39"/>
      <x v="14"/>
    </i>
    <i t="grand">
      <x/>
    </i>
  </rowItems>
  <colFields count="1">
    <field x="-2"/>
  </colFields>
  <colItems count="2">
    <i>
      <x/>
    </i>
    <i i="1">
      <x v="1"/>
    </i>
  </colItems>
  <dataFields count="2">
    <dataField name="Actual1" fld="9" baseField="7" baseItem="7" numFmtId="3"/>
    <dataField name="budget1" fld="8" baseField="7" baseItem="7" numFmtId="3"/>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72B134-8B8E-4E75-A7B1-16B54248B4FD}"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5" firstHeaderRow="1" firstDataRow="1" firstDataCol="1"/>
  <pivotFields count="10">
    <pivotField showAll="0">
      <items count="6">
        <item x="0"/>
        <item x="1"/>
        <item x="2"/>
        <item x="3"/>
        <item x="4"/>
        <item t="default"/>
      </items>
    </pivotField>
    <pivotField showAll="0"/>
    <pivotField showAll="0">
      <items count="6">
        <item x="3"/>
        <item x="2"/>
        <item x="0"/>
        <item x="4"/>
        <item x="1"/>
        <item t="default"/>
      </items>
    </pivotField>
    <pivotField numFmtId="14" showAll="0"/>
    <pivotField dataField="1" showAll="0"/>
    <pivotField numFmtId="14" showAll="0"/>
    <pivotField dataField="1" numFmtId="3" showAll="0">
      <items count="9">
        <item x="3"/>
        <item x="6"/>
        <item x="2"/>
        <item x="0"/>
        <item x="1"/>
        <item x="5"/>
        <item x="7"/>
        <item x="4"/>
        <item t="default"/>
      </items>
    </pivotField>
    <pivotField numFmtId="9" showAll="0"/>
    <pivotField numFmtId="3" showAll="0"/>
    <pivotField numFmtId="3" showAll="0"/>
  </pivotFields>
  <rowFields count="1">
    <field x="-2"/>
  </rowFields>
  <rowItems count="2">
    <i>
      <x/>
    </i>
    <i i="1">
      <x v="1"/>
    </i>
  </rowItems>
  <colItems count="1">
    <i/>
  </colItems>
  <dataFields count="2">
    <dataField name="Sum of Duration" fld="4" baseField="0" baseItem="0"/>
    <dataField name="Sum of Days Complete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D63C523-EE0D-4B91-A3A4-044E3FBA379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K3:L4" firstHeaderRow="0" firstDataRow="1" firstDataCol="0"/>
  <pivotFields count="10">
    <pivotField showAll="0">
      <items count="6">
        <item x="0"/>
        <item x="1"/>
        <item x="2"/>
        <item x="3"/>
        <item x="4"/>
        <item t="default"/>
      </items>
    </pivotField>
    <pivotField showAll="0"/>
    <pivotField showAll="0">
      <items count="6">
        <item x="3"/>
        <item x="2"/>
        <item x="0"/>
        <item x="4"/>
        <item x="1"/>
        <item t="default"/>
      </items>
    </pivotField>
    <pivotField numFmtId="14" showAll="0"/>
    <pivotField showAll="0"/>
    <pivotField numFmtId="14" showAll="0"/>
    <pivotField numFmtId="3" showAll="0"/>
    <pivotField numFmtId="9" showAll="0"/>
    <pivotField dataField="1" numFmtId="3" showAll="0"/>
    <pivotField dataField="1" numFmtId="3" showAll="0"/>
  </pivotFields>
  <rowItems count="1">
    <i/>
  </rowItems>
  <colFields count="1">
    <field x="-2"/>
  </colFields>
  <colItems count="2">
    <i>
      <x/>
    </i>
    <i i="1">
      <x v="1"/>
    </i>
  </colItems>
  <dataFields count="2">
    <dataField name="Actual1" fld="9" baseField="0" baseItem="1" numFmtId="164"/>
    <dataField name="Budget1" fld="8" baseField="0" baseItem="1" numFmtId="164"/>
  </dataField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1"/>
          </reference>
        </references>
      </pivotArea>
    </chartFormat>
    <chartFormat chart="3" format="1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ts" xr10:uid="{D75EEB9E-B1A5-4A25-8399-099E7B25D572}" sourceName="Projets">
  <pivotTables>
    <pivotTable tabId="1" name="PivotTable3"/>
    <pivotTable tabId="3" name="PivotTable1"/>
    <pivotTable tabId="3" name="PivotTable2"/>
  </pivotTables>
  <data>
    <tabular pivotCacheId="1837480937">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E9CF16E3-6F0F-4C49-A4E4-BD8E865DD8A2}" sourceName="Manager">
  <pivotTables>
    <pivotTable tabId="1" name="PivotTable3"/>
    <pivotTable tabId="3" name="PivotTable1"/>
    <pivotTable tabId="3" name="PivotTable2"/>
  </pivotTables>
  <data>
    <tabular pivotCacheId="1837480937">
      <items count="5">
        <i x="3" s="1"/>
        <i x="2" s="1"/>
        <i x="0" s="1"/>
        <i x="4"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ts" xr10:uid="{378A23E8-A1C2-48D4-9D1C-590B4871A83F}" cache="Slicer_Projets" caption="Projets" columnCount="5" rowHeight="234950"/>
  <slicer name="Manager" xr10:uid="{EFA4C84A-8342-4F49-AB23-89FEB4BA864E}" cache="Slicer_Manager" caption="Manager" columnCoun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6542FF4-82F2-4117-8514-C81662CDB457}" name="Table14" displayName="Table14" ref="A4:J44" totalsRowShown="0">
  <autoFilter ref="A4:J44" xr:uid="{C6542FF4-82F2-4117-8514-C81662CDB457}"/>
  <tableColumns count="10">
    <tableColumn id="1" xr3:uid="{FB6DCA76-F5E2-4759-83C9-1BE155BACF6C}" name="Projets"/>
    <tableColumn id="2" xr3:uid="{4EF917ED-7906-4034-9E13-E56795DDF200}" name="Task"/>
    <tableColumn id="3" xr3:uid="{10577440-B426-49E4-B547-82F0597CFF16}" name="Manager"/>
    <tableColumn id="4" xr3:uid="{7AE579B6-1200-4519-9F7C-F8F59D0DA525}" name="End date" dataDxfId="6"/>
    <tableColumn id="5" xr3:uid="{415FC696-8971-4040-80AC-7E6F87C049EA}" name="Duration" dataDxfId="5"/>
    <tableColumn id="6" xr3:uid="{5B72F080-E303-42C2-880C-A33464256C18}" name="Start date" dataDxfId="4"/>
    <tableColumn id="7" xr3:uid="{691C7C77-294D-466D-A0B9-982233041F14}" name="Days Completed" dataDxfId="3"/>
    <tableColumn id="8" xr3:uid="{4B3C8B8C-49AB-4D72-A6A9-B66FA99584DE}" name="Progress" dataDxfId="2"/>
    <tableColumn id="9" xr3:uid="{68AB2F05-B369-402B-AC0C-0636AF2FE0B0}" name="Budget" dataDxfId="1"/>
    <tableColumn id="10" xr3:uid="{5EAE8055-2DE1-4717-8962-3FE42DBF079B}" name="Actu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9AFB2-C3F2-4B31-B5AC-15B659470E91}">
  <sheetPr codeName="Sheet1"/>
  <dimension ref="A1:AJ46"/>
  <sheetViews>
    <sheetView showGridLines="0" tabSelected="1" zoomScale="84" zoomScaleNormal="84" workbookViewId="0">
      <pane ySplit="5" topLeftCell="A6" activePane="bottomLeft" state="frozen"/>
      <selection pane="bottomLeft" activeCell="M24" sqref="M24"/>
    </sheetView>
  </sheetViews>
  <sheetFormatPr defaultRowHeight="14.4" x14ac:dyDescent="0.3"/>
  <cols>
    <col min="3" max="3" width="10.44140625" customWidth="1"/>
    <col min="4" max="4" width="10.33203125" bestFit="1" customWidth="1"/>
    <col min="5" max="5" width="10.33203125" customWidth="1"/>
    <col min="6" max="6" width="11.109375" customWidth="1"/>
    <col min="7" max="7" width="16.5546875" customWidth="1"/>
    <col min="8" max="8" width="10" customWidth="1"/>
    <col min="11" max="28" width="10.33203125" bestFit="1" customWidth="1"/>
  </cols>
  <sheetData>
    <row r="1" spans="1:36" ht="23.4" x14ac:dyDescent="0.45">
      <c r="A1" s="1" t="s">
        <v>0</v>
      </c>
      <c r="B1" s="1"/>
      <c r="C1" s="1"/>
      <c r="D1" s="1"/>
      <c r="E1" s="1"/>
      <c r="F1" s="1" t="str">
        <f>TEXT(MIN(D6:D45),"D-MMM-YY")&amp;"to"&amp;TEXT(MAX(G6:G45),"D-MMM-YY")</f>
        <v>3-Jan-21to16-Feb-21</v>
      </c>
      <c r="G1" s="1"/>
      <c r="H1" s="1"/>
      <c r="I1" s="1"/>
      <c r="J1" s="1"/>
      <c r="K1" s="1"/>
      <c r="L1" s="1"/>
      <c r="M1" s="1"/>
      <c r="N1" s="1"/>
      <c r="O1" s="1"/>
      <c r="P1" s="1"/>
      <c r="Q1" s="1"/>
      <c r="R1" s="1"/>
      <c r="S1" s="1"/>
      <c r="T1" s="1"/>
      <c r="U1" s="1"/>
      <c r="V1" s="1"/>
      <c r="W1" s="1"/>
      <c r="X1" s="1"/>
      <c r="Y1" s="14"/>
      <c r="Z1" s="14"/>
    </row>
    <row r="2" spans="1:36" ht="23.4" x14ac:dyDescent="0.45">
      <c r="A2" s="9"/>
      <c r="B2" s="9"/>
      <c r="C2" s="9"/>
      <c r="D2" s="9"/>
      <c r="E2" s="9"/>
      <c r="F2" s="9"/>
      <c r="G2" s="9"/>
      <c r="H2" s="9"/>
      <c r="I2" s="9"/>
      <c r="J2" s="9"/>
      <c r="K2" s="9"/>
      <c r="L2" s="9"/>
      <c r="M2" s="9"/>
      <c r="N2" s="9"/>
      <c r="O2" s="9"/>
      <c r="P2" s="9"/>
      <c r="Q2" s="9"/>
      <c r="R2" s="9"/>
      <c r="S2" s="9"/>
      <c r="T2" s="9"/>
      <c r="U2" s="9"/>
      <c r="V2" s="9"/>
      <c r="W2" s="9"/>
      <c r="X2" s="9"/>
    </row>
    <row r="3" spans="1:36" ht="23.4" x14ac:dyDescent="0.45">
      <c r="A3" s="9"/>
      <c r="B3" s="9"/>
      <c r="C3" s="9"/>
      <c r="D3" s="9"/>
      <c r="E3" s="9"/>
      <c r="F3" s="9"/>
      <c r="G3" s="9"/>
      <c r="H3" s="9"/>
      <c r="I3" s="9"/>
      <c r="J3" s="9"/>
      <c r="K3" s="9"/>
      <c r="L3" s="9"/>
      <c r="M3" s="9"/>
      <c r="N3" s="9"/>
      <c r="O3" s="9"/>
      <c r="P3" s="9"/>
      <c r="Q3" s="9"/>
      <c r="R3" s="9"/>
      <c r="S3" s="9"/>
      <c r="T3" s="9"/>
      <c r="U3" s="9"/>
      <c r="V3" s="9"/>
      <c r="W3" s="9"/>
      <c r="X3" s="9"/>
    </row>
    <row r="4" spans="1:36" ht="23.4" x14ac:dyDescent="0.45">
      <c r="A4" s="9"/>
      <c r="B4" s="9"/>
      <c r="C4" s="9"/>
      <c r="D4" s="9"/>
      <c r="E4" s="9"/>
      <c r="F4" s="9"/>
      <c r="G4" s="9"/>
      <c r="H4" s="9"/>
      <c r="I4" s="9"/>
      <c r="J4" s="9"/>
      <c r="K4" s="9"/>
      <c r="L4" s="9"/>
      <c r="M4" s="9"/>
      <c r="N4" s="9"/>
      <c r="O4" s="9"/>
      <c r="P4" s="9"/>
      <c r="Q4" s="9"/>
      <c r="R4" s="9"/>
      <c r="S4" s="9"/>
      <c r="T4" s="9"/>
      <c r="U4" s="9"/>
      <c r="V4" s="9"/>
      <c r="W4" s="9"/>
      <c r="X4" s="9"/>
    </row>
    <row r="5" spans="1:36" x14ac:dyDescent="0.3">
      <c r="A5" s="7" t="s">
        <v>22</v>
      </c>
      <c r="B5" s="7" t="s">
        <v>23</v>
      </c>
      <c r="C5" s="7" t="s">
        <v>24</v>
      </c>
      <c r="D5" s="7" t="s">
        <v>25</v>
      </c>
      <c r="E5" s="7" t="s">
        <v>30</v>
      </c>
      <c r="F5" s="7" t="s">
        <v>32</v>
      </c>
      <c r="G5" s="7" t="s">
        <v>26</v>
      </c>
      <c r="H5" s="7" t="s">
        <v>27</v>
      </c>
      <c r="I5" t="s">
        <v>34</v>
      </c>
      <c r="J5" t="s">
        <v>33</v>
      </c>
      <c r="K5" s="15" cm="1">
        <f t="array" ref="K5:AJ5">_xlfn.SEQUENCE(1,26,MIN(D6:D45)+Workings!G9,1)</f>
        <v>44199</v>
      </c>
      <c r="L5" s="15">
        <v>44200</v>
      </c>
      <c r="M5" s="15">
        <v>44201</v>
      </c>
      <c r="N5" s="15">
        <v>44202</v>
      </c>
      <c r="O5" s="15">
        <v>44203</v>
      </c>
      <c r="P5" s="15">
        <v>44204</v>
      </c>
      <c r="Q5" s="15">
        <v>44205</v>
      </c>
      <c r="R5" s="15">
        <v>44206</v>
      </c>
      <c r="S5" s="15">
        <v>44207</v>
      </c>
      <c r="T5" s="15">
        <v>44208</v>
      </c>
      <c r="U5" s="15">
        <v>44209</v>
      </c>
      <c r="V5" s="15">
        <v>44210</v>
      </c>
      <c r="W5" s="15">
        <v>44211</v>
      </c>
      <c r="X5" s="15">
        <v>44212</v>
      </c>
      <c r="Y5" s="15">
        <v>44213</v>
      </c>
      <c r="Z5" s="15">
        <v>44214</v>
      </c>
      <c r="AA5" s="15">
        <v>44215</v>
      </c>
      <c r="AB5" s="15">
        <v>44216</v>
      </c>
      <c r="AC5" s="15">
        <v>44217</v>
      </c>
      <c r="AD5" s="15">
        <v>44218</v>
      </c>
      <c r="AE5" s="15">
        <v>44219</v>
      </c>
      <c r="AF5" s="15">
        <v>44220</v>
      </c>
      <c r="AG5" s="15">
        <v>44221</v>
      </c>
      <c r="AH5" s="15">
        <v>44222</v>
      </c>
      <c r="AI5" s="15">
        <v>44223</v>
      </c>
      <c r="AJ5" s="15">
        <v>44224</v>
      </c>
    </row>
    <row r="6" spans="1:36" x14ac:dyDescent="0.3">
      <c r="A6" t="s">
        <v>17</v>
      </c>
      <c r="B6" t="s">
        <v>1</v>
      </c>
      <c r="C6" t="s">
        <v>49</v>
      </c>
      <c r="D6" s="6">
        <v>44199</v>
      </c>
      <c r="E6">
        <v>8</v>
      </c>
      <c r="F6" s="2">
        <v>3</v>
      </c>
      <c r="G6" s="6">
        <v>44204</v>
      </c>
      <c r="H6" s="4">
        <v>0.375</v>
      </c>
      <c r="I6" s="2">
        <v>32256</v>
      </c>
      <c r="J6" s="2">
        <v>96000</v>
      </c>
    </row>
    <row r="7" spans="1:36" x14ac:dyDescent="0.3">
      <c r="B7" t="s">
        <v>3</v>
      </c>
      <c r="C7" t="s">
        <v>51</v>
      </c>
      <c r="D7" s="6">
        <v>44200</v>
      </c>
      <c r="E7">
        <v>9</v>
      </c>
      <c r="F7" s="2">
        <v>4</v>
      </c>
      <c r="G7" s="6">
        <v>44205</v>
      </c>
      <c r="H7" s="4">
        <v>0.44444444444444442</v>
      </c>
      <c r="I7" s="2">
        <v>226233</v>
      </c>
      <c r="J7" s="2">
        <v>513000</v>
      </c>
    </row>
    <row r="8" spans="1:36" x14ac:dyDescent="0.3">
      <c r="B8" t="s">
        <v>5</v>
      </c>
      <c r="C8" t="s">
        <v>48</v>
      </c>
      <c r="D8" s="6">
        <v>44201</v>
      </c>
      <c r="E8">
        <v>5</v>
      </c>
      <c r="F8" s="2">
        <v>3</v>
      </c>
      <c r="G8" s="6">
        <v>44206</v>
      </c>
      <c r="H8" s="4">
        <v>0.6</v>
      </c>
      <c r="I8" s="2">
        <v>401579</v>
      </c>
      <c r="J8" s="2">
        <v>616000</v>
      </c>
    </row>
    <row r="9" spans="1:36" x14ac:dyDescent="0.3">
      <c r="B9" t="s">
        <v>7</v>
      </c>
      <c r="C9" t="s">
        <v>47</v>
      </c>
      <c r="D9" s="6">
        <v>44202</v>
      </c>
      <c r="E9">
        <v>3</v>
      </c>
      <c r="F9" s="2">
        <v>3</v>
      </c>
      <c r="G9" s="6">
        <v>44207</v>
      </c>
      <c r="H9" s="4">
        <v>1</v>
      </c>
      <c r="I9" s="2">
        <v>807069</v>
      </c>
      <c r="J9" s="2">
        <v>817000</v>
      </c>
    </row>
    <row r="10" spans="1:36" x14ac:dyDescent="0.3">
      <c r="B10" t="s">
        <v>9</v>
      </c>
      <c r="C10" t="s">
        <v>50</v>
      </c>
      <c r="D10" s="6">
        <v>44203</v>
      </c>
      <c r="E10">
        <v>7</v>
      </c>
      <c r="F10" s="2">
        <v>3</v>
      </c>
      <c r="G10" s="6">
        <v>44208</v>
      </c>
      <c r="H10" s="4">
        <v>0.42857142857142855</v>
      </c>
      <c r="I10" s="2">
        <v>173166</v>
      </c>
      <c r="J10" s="2">
        <v>372000</v>
      </c>
    </row>
    <row r="11" spans="1:36" x14ac:dyDescent="0.3">
      <c r="B11" t="s">
        <v>11</v>
      </c>
      <c r="C11" t="s">
        <v>49</v>
      </c>
      <c r="D11" s="6">
        <v>44204</v>
      </c>
      <c r="E11">
        <v>10</v>
      </c>
      <c r="F11" s="2">
        <v>2</v>
      </c>
      <c r="G11" s="6">
        <v>44209</v>
      </c>
      <c r="H11" s="4">
        <v>0.2</v>
      </c>
      <c r="I11" s="2">
        <v>8400</v>
      </c>
      <c r="J11" s="2">
        <v>50000</v>
      </c>
    </row>
    <row r="12" spans="1:36" x14ac:dyDescent="0.3">
      <c r="B12" t="s">
        <v>12</v>
      </c>
      <c r="C12" t="s">
        <v>51</v>
      </c>
      <c r="D12" s="6">
        <v>44205</v>
      </c>
      <c r="E12">
        <v>10</v>
      </c>
      <c r="F12" s="2">
        <v>3</v>
      </c>
      <c r="G12" s="6">
        <v>44210</v>
      </c>
      <c r="H12" s="4">
        <v>0.3</v>
      </c>
      <c r="I12" s="2">
        <v>262679</v>
      </c>
      <c r="J12" s="2">
        <v>807000</v>
      </c>
    </row>
    <row r="13" spans="1:36" x14ac:dyDescent="0.3">
      <c r="B13" t="s">
        <v>13</v>
      </c>
      <c r="C13" t="s">
        <v>48</v>
      </c>
      <c r="D13" s="6">
        <v>44206</v>
      </c>
      <c r="E13">
        <v>3</v>
      </c>
      <c r="F13" s="2">
        <v>0</v>
      </c>
      <c r="G13" s="6">
        <v>44211</v>
      </c>
      <c r="H13" s="4">
        <v>0</v>
      </c>
      <c r="I13" s="2">
        <v>0</v>
      </c>
      <c r="J13" s="2">
        <v>691000</v>
      </c>
    </row>
    <row r="14" spans="1:36" x14ac:dyDescent="0.3">
      <c r="A14" t="s">
        <v>18</v>
      </c>
      <c r="B14" t="s">
        <v>1</v>
      </c>
      <c r="C14" t="s">
        <v>47</v>
      </c>
      <c r="D14" s="6">
        <v>44207</v>
      </c>
      <c r="E14">
        <v>9</v>
      </c>
      <c r="F14" s="2">
        <v>8</v>
      </c>
      <c r="G14" s="6">
        <v>44212</v>
      </c>
      <c r="H14" s="4">
        <v>0.88888888888888884</v>
      </c>
      <c r="I14" s="2">
        <v>727188</v>
      </c>
      <c r="J14" s="2">
        <v>787000</v>
      </c>
    </row>
    <row r="15" spans="1:36" x14ac:dyDescent="0.3">
      <c r="B15" t="s">
        <v>3</v>
      </c>
      <c r="C15" t="s">
        <v>50</v>
      </c>
      <c r="D15" s="6">
        <v>44208</v>
      </c>
      <c r="E15">
        <v>10</v>
      </c>
      <c r="F15" s="2">
        <v>2</v>
      </c>
      <c r="G15" s="6">
        <v>44213</v>
      </c>
      <c r="H15" s="4">
        <v>0.2</v>
      </c>
      <c r="I15" s="2">
        <v>47880</v>
      </c>
      <c r="J15" s="2">
        <v>228000</v>
      </c>
    </row>
    <row r="16" spans="1:36" x14ac:dyDescent="0.3">
      <c r="B16" t="s">
        <v>5</v>
      </c>
      <c r="C16" t="s">
        <v>49</v>
      </c>
      <c r="D16" s="6">
        <v>44209</v>
      </c>
      <c r="E16">
        <v>4</v>
      </c>
      <c r="F16" s="2">
        <v>0</v>
      </c>
      <c r="G16" s="6">
        <v>44214</v>
      </c>
      <c r="H16" s="4">
        <v>0</v>
      </c>
      <c r="I16" s="2">
        <v>0</v>
      </c>
      <c r="J16" s="2">
        <v>147000</v>
      </c>
    </row>
    <row r="17" spans="1:10" x14ac:dyDescent="0.3">
      <c r="B17" t="s">
        <v>7</v>
      </c>
      <c r="C17" t="s">
        <v>51</v>
      </c>
      <c r="D17" s="6">
        <v>44210</v>
      </c>
      <c r="E17">
        <v>8</v>
      </c>
      <c r="F17" s="2">
        <v>5</v>
      </c>
      <c r="G17" s="6">
        <v>44215</v>
      </c>
      <c r="H17" s="4">
        <v>0.625</v>
      </c>
      <c r="I17" s="2">
        <v>205123</v>
      </c>
      <c r="J17" s="2">
        <v>338000</v>
      </c>
    </row>
    <row r="18" spans="1:10" x14ac:dyDescent="0.3">
      <c r="B18" t="s">
        <v>9</v>
      </c>
      <c r="C18" t="s">
        <v>48</v>
      </c>
      <c r="D18" s="6">
        <v>44211</v>
      </c>
      <c r="E18">
        <v>10</v>
      </c>
      <c r="F18" s="2">
        <v>3</v>
      </c>
      <c r="G18" s="6">
        <v>44216</v>
      </c>
      <c r="H18" s="4">
        <v>0.3</v>
      </c>
      <c r="I18" s="2">
        <v>305949</v>
      </c>
      <c r="J18" s="2">
        <v>857000</v>
      </c>
    </row>
    <row r="19" spans="1:10" x14ac:dyDescent="0.3">
      <c r="B19" t="s">
        <v>11</v>
      </c>
      <c r="C19" t="s">
        <v>47</v>
      </c>
      <c r="D19" s="6">
        <v>44212</v>
      </c>
      <c r="E19">
        <v>6</v>
      </c>
      <c r="F19" s="2">
        <v>3</v>
      </c>
      <c r="G19" s="6">
        <v>44217</v>
      </c>
      <c r="H19" s="4">
        <v>0.5</v>
      </c>
      <c r="I19" s="2">
        <v>322371</v>
      </c>
      <c r="J19" s="2">
        <v>602000</v>
      </c>
    </row>
    <row r="20" spans="1:10" x14ac:dyDescent="0.3">
      <c r="B20" t="s">
        <v>12</v>
      </c>
      <c r="C20" t="s">
        <v>50</v>
      </c>
      <c r="D20" s="6">
        <v>44213</v>
      </c>
      <c r="E20">
        <v>4</v>
      </c>
      <c r="F20" s="2">
        <v>2</v>
      </c>
      <c r="G20" s="6">
        <v>44218</v>
      </c>
      <c r="H20" s="4">
        <v>0.5</v>
      </c>
      <c r="I20" s="2">
        <v>451440</v>
      </c>
      <c r="J20" s="2">
        <v>990000</v>
      </c>
    </row>
    <row r="21" spans="1:10" x14ac:dyDescent="0.3">
      <c r="A21" t="s">
        <v>19</v>
      </c>
      <c r="B21" t="s">
        <v>1</v>
      </c>
      <c r="C21" t="s">
        <v>47</v>
      </c>
      <c r="D21" s="6">
        <v>44214</v>
      </c>
      <c r="E21">
        <v>5</v>
      </c>
      <c r="F21" s="2">
        <v>2</v>
      </c>
      <c r="G21" s="6">
        <v>44219</v>
      </c>
      <c r="H21" s="4">
        <v>0.4</v>
      </c>
      <c r="I21" s="2">
        <v>97337</v>
      </c>
      <c r="J21" s="2">
        <v>218000</v>
      </c>
    </row>
    <row r="22" spans="1:10" x14ac:dyDescent="0.3">
      <c r="B22" t="s">
        <v>15</v>
      </c>
      <c r="C22" t="s">
        <v>48</v>
      </c>
      <c r="D22" s="6">
        <v>44223</v>
      </c>
      <c r="E22">
        <v>6</v>
      </c>
      <c r="F22" s="2">
        <v>3</v>
      </c>
      <c r="G22" s="6">
        <v>44228</v>
      </c>
      <c r="H22" s="4">
        <v>0.5</v>
      </c>
      <c r="I22" s="2">
        <v>175015</v>
      </c>
      <c r="J22" s="2">
        <v>416000</v>
      </c>
    </row>
    <row r="23" spans="1:10" x14ac:dyDescent="0.3">
      <c r="B23" t="s">
        <v>3</v>
      </c>
      <c r="C23" t="s">
        <v>50</v>
      </c>
      <c r="D23" s="6">
        <v>44215</v>
      </c>
      <c r="E23">
        <v>6</v>
      </c>
      <c r="F23" s="2">
        <v>3</v>
      </c>
      <c r="G23" s="6">
        <v>44220</v>
      </c>
      <c r="H23" s="4">
        <v>0.5</v>
      </c>
      <c r="I23" s="2">
        <v>177440</v>
      </c>
      <c r="J23" s="2">
        <v>393000</v>
      </c>
    </row>
    <row r="24" spans="1:10" x14ac:dyDescent="0.3">
      <c r="B24" t="s">
        <v>5</v>
      </c>
      <c r="C24" t="s">
        <v>49</v>
      </c>
      <c r="D24" s="6">
        <v>44216</v>
      </c>
      <c r="E24">
        <v>10</v>
      </c>
      <c r="F24" s="2">
        <v>4</v>
      </c>
      <c r="G24" s="6">
        <v>44221</v>
      </c>
      <c r="H24" s="4">
        <v>0.4</v>
      </c>
      <c r="I24" s="2">
        <v>31046</v>
      </c>
      <c r="J24" s="2">
        <v>86000</v>
      </c>
    </row>
    <row r="25" spans="1:10" x14ac:dyDescent="0.3">
      <c r="B25" t="s">
        <v>7</v>
      </c>
      <c r="C25" t="s">
        <v>51</v>
      </c>
      <c r="D25" s="6">
        <v>44217</v>
      </c>
      <c r="E25">
        <v>9</v>
      </c>
      <c r="F25" s="2">
        <v>3</v>
      </c>
      <c r="G25" s="6">
        <v>44222</v>
      </c>
      <c r="H25" s="4">
        <v>0.33333333333333331</v>
      </c>
      <c r="I25" s="2">
        <v>261324</v>
      </c>
      <c r="J25" s="2">
        <v>732000</v>
      </c>
    </row>
    <row r="26" spans="1:10" x14ac:dyDescent="0.3">
      <c r="B26" t="s">
        <v>9</v>
      </c>
      <c r="C26" t="s">
        <v>48</v>
      </c>
      <c r="D26" s="6">
        <v>44218</v>
      </c>
      <c r="E26">
        <v>4</v>
      </c>
      <c r="F26" s="2">
        <v>1</v>
      </c>
      <c r="G26" s="6">
        <v>44223</v>
      </c>
      <c r="H26" s="4">
        <v>0.25</v>
      </c>
      <c r="I26" s="2">
        <v>116850</v>
      </c>
      <c r="J26" s="2">
        <v>492000</v>
      </c>
    </row>
    <row r="27" spans="1:10" x14ac:dyDescent="0.3">
      <c r="B27" t="s">
        <v>11</v>
      </c>
      <c r="C27" t="s">
        <v>47</v>
      </c>
      <c r="D27" s="6">
        <v>44219</v>
      </c>
      <c r="E27">
        <v>6</v>
      </c>
      <c r="F27" s="2">
        <v>0</v>
      </c>
      <c r="G27" s="6">
        <v>44224</v>
      </c>
      <c r="H27" s="4">
        <v>0</v>
      </c>
      <c r="I27" s="2">
        <v>0</v>
      </c>
      <c r="J27" s="2">
        <v>188000</v>
      </c>
    </row>
    <row r="28" spans="1:10" x14ac:dyDescent="0.3">
      <c r="B28" t="s">
        <v>12</v>
      </c>
      <c r="C28" t="s">
        <v>50</v>
      </c>
      <c r="D28" s="6">
        <v>44220</v>
      </c>
      <c r="E28">
        <v>7</v>
      </c>
      <c r="F28" s="2">
        <v>3</v>
      </c>
      <c r="G28" s="6">
        <v>44225</v>
      </c>
      <c r="H28" s="4">
        <v>0.42857142857142855</v>
      </c>
      <c r="I28" s="2">
        <v>79380</v>
      </c>
      <c r="J28" s="2">
        <v>180000</v>
      </c>
    </row>
    <row r="29" spans="1:10" x14ac:dyDescent="0.3">
      <c r="B29" t="s">
        <v>13</v>
      </c>
      <c r="C29" t="s">
        <v>49</v>
      </c>
      <c r="D29" s="6">
        <v>44221</v>
      </c>
      <c r="E29">
        <v>5</v>
      </c>
      <c r="F29" s="2">
        <v>2</v>
      </c>
      <c r="G29" s="6">
        <v>44226</v>
      </c>
      <c r="H29" s="4">
        <v>0.4</v>
      </c>
      <c r="I29" s="2">
        <v>195231</v>
      </c>
      <c r="J29" s="2">
        <v>582000</v>
      </c>
    </row>
    <row r="30" spans="1:10" x14ac:dyDescent="0.3">
      <c r="B30" t="s">
        <v>14</v>
      </c>
      <c r="C30" t="s">
        <v>51</v>
      </c>
      <c r="D30" s="6">
        <v>44222</v>
      </c>
      <c r="E30">
        <v>9</v>
      </c>
      <c r="F30" s="2">
        <v>1</v>
      </c>
      <c r="G30" s="6">
        <v>44227</v>
      </c>
      <c r="H30" s="4">
        <v>0.1111111111111111</v>
      </c>
      <c r="I30" s="2">
        <v>74746</v>
      </c>
      <c r="J30" s="2">
        <v>562000</v>
      </c>
    </row>
    <row r="31" spans="1:10" x14ac:dyDescent="0.3">
      <c r="A31" t="s">
        <v>20</v>
      </c>
      <c r="B31" t="s">
        <v>1</v>
      </c>
      <c r="C31" t="s">
        <v>47</v>
      </c>
      <c r="D31" s="6">
        <v>44224</v>
      </c>
      <c r="E31">
        <v>7</v>
      </c>
      <c r="F31" s="2">
        <v>7</v>
      </c>
      <c r="G31" s="6">
        <v>44229</v>
      </c>
      <c r="H31" s="4">
        <v>1</v>
      </c>
      <c r="I31" s="2">
        <v>273001</v>
      </c>
      <c r="J31" s="2">
        <v>293000</v>
      </c>
    </row>
    <row r="32" spans="1:10" x14ac:dyDescent="0.3">
      <c r="B32" t="s">
        <v>15</v>
      </c>
      <c r="C32" t="s">
        <v>48</v>
      </c>
      <c r="D32" s="6">
        <v>44233</v>
      </c>
      <c r="E32">
        <v>3</v>
      </c>
      <c r="F32" s="2">
        <v>3</v>
      </c>
      <c r="G32" s="6">
        <v>44238</v>
      </c>
      <c r="H32" s="4">
        <v>1</v>
      </c>
      <c r="I32" s="2">
        <v>64987</v>
      </c>
      <c r="J32" s="2">
        <v>68000</v>
      </c>
    </row>
    <row r="33" spans="1:10" x14ac:dyDescent="0.3">
      <c r="B33" t="s">
        <v>3</v>
      </c>
      <c r="C33" t="s">
        <v>50</v>
      </c>
      <c r="D33" s="6">
        <v>44225</v>
      </c>
      <c r="E33">
        <v>9</v>
      </c>
      <c r="F33" s="2">
        <v>4</v>
      </c>
      <c r="G33" s="6">
        <v>44230</v>
      </c>
      <c r="H33" s="4">
        <v>0.44444444444444442</v>
      </c>
      <c r="I33" s="2">
        <v>57910</v>
      </c>
      <c r="J33" s="2">
        <v>224000</v>
      </c>
    </row>
    <row r="34" spans="1:10" x14ac:dyDescent="0.3">
      <c r="B34" t="s">
        <v>5</v>
      </c>
      <c r="C34" t="s">
        <v>49</v>
      </c>
      <c r="D34" s="6">
        <v>44226</v>
      </c>
      <c r="E34">
        <v>8</v>
      </c>
      <c r="F34" s="2">
        <v>0</v>
      </c>
      <c r="G34" s="6">
        <v>44231</v>
      </c>
      <c r="H34" s="4">
        <v>0</v>
      </c>
      <c r="I34" s="2">
        <v>0</v>
      </c>
      <c r="J34" s="2">
        <v>978000</v>
      </c>
    </row>
    <row r="35" spans="1:10" x14ac:dyDescent="0.3">
      <c r="B35" t="s">
        <v>7</v>
      </c>
      <c r="C35" t="s">
        <v>51</v>
      </c>
      <c r="D35" s="6">
        <v>44227</v>
      </c>
      <c r="E35">
        <v>7</v>
      </c>
      <c r="F35" s="2">
        <v>3</v>
      </c>
      <c r="G35" s="6">
        <v>44232</v>
      </c>
      <c r="H35" s="4">
        <v>0.42857142857142855</v>
      </c>
      <c r="I35" s="2">
        <v>379157</v>
      </c>
      <c r="J35" s="2">
        <v>932000</v>
      </c>
    </row>
    <row r="36" spans="1:10" x14ac:dyDescent="0.3">
      <c r="B36" t="s">
        <v>9</v>
      </c>
      <c r="C36" t="s">
        <v>48</v>
      </c>
      <c r="D36" s="6">
        <v>44228</v>
      </c>
      <c r="E36">
        <v>4</v>
      </c>
      <c r="F36" s="2">
        <v>1</v>
      </c>
      <c r="G36" s="6">
        <v>44233</v>
      </c>
      <c r="H36" s="4">
        <v>0.25</v>
      </c>
      <c r="I36" s="2">
        <v>322812</v>
      </c>
      <c r="J36" s="2">
        <v>854000</v>
      </c>
    </row>
    <row r="37" spans="1:10" x14ac:dyDescent="0.3">
      <c r="B37" t="s">
        <v>11</v>
      </c>
      <c r="C37" t="s">
        <v>47</v>
      </c>
      <c r="D37" s="6">
        <v>44229</v>
      </c>
      <c r="E37">
        <v>6</v>
      </c>
      <c r="F37" s="2">
        <v>3</v>
      </c>
      <c r="G37" s="6">
        <v>44234</v>
      </c>
      <c r="H37" s="4">
        <v>0.5</v>
      </c>
      <c r="I37" s="2">
        <v>38461</v>
      </c>
      <c r="J37" s="2">
        <v>81000</v>
      </c>
    </row>
    <row r="38" spans="1:10" x14ac:dyDescent="0.3">
      <c r="B38" t="s">
        <v>12</v>
      </c>
      <c r="C38" t="s">
        <v>50</v>
      </c>
      <c r="D38" s="6">
        <v>44230</v>
      </c>
      <c r="E38">
        <v>6</v>
      </c>
      <c r="F38" s="2">
        <v>5</v>
      </c>
      <c r="G38" s="6">
        <v>44235</v>
      </c>
      <c r="H38" s="4">
        <v>0.83333333333333337</v>
      </c>
      <c r="I38" s="2">
        <v>136468</v>
      </c>
      <c r="J38" s="2">
        <v>169000</v>
      </c>
    </row>
    <row r="39" spans="1:10" x14ac:dyDescent="0.3">
      <c r="B39" t="s">
        <v>13</v>
      </c>
      <c r="C39" t="s">
        <v>49</v>
      </c>
      <c r="D39" s="6">
        <v>44231</v>
      </c>
      <c r="E39">
        <v>4</v>
      </c>
      <c r="F39" s="2">
        <v>1</v>
      </c>
      <c r="G39" s="6">
        <v>44236</v>
      </c>
      <c r="H39" s="4">
        <v>0.25</v>
      </c>
      <c r="I39" s="2">
        <v>12078</v>
      </c>
      <c r="J39" s="2">
        <v>61000</v>
      </c>
    </row>
    <row r="40" spans="1:10" x14ac:dyDescent="0.3">
      <c r="B40" t="s">
        <v>14</v>
      </c>
      <c r="C40" t="s">
        <v>51</v>
      </c>
      <c r="D40" s="6">
        <v>44232</v>
      </c>
      <c r="E40">
        <v>7</v>
      </c>
      <c r="F40" s="2">
        <v>3</v>
      </c>
      <c r="G40" s="6">
        <v>44237</v>
      </c>
      <c r="H40" s="4">
        <v>0.42857142857142855</v>
      </c>
      <c r="I40" s="2">
        <v>273048</v>
      </c>
      <c r="J40" s="2">
        <v>645000</v>
      </c>
    </row>
    <row r="41" spans="1:10" x14ac:dyDescent="0.3">
      <c r="A41" t="s">
        <v>21</v>
      </c>
      <c r="B41" t="s">
        <v>1</v>
      </c>
      <c r="C41" t="s">
        <v>47</v>
      </c>
      <c r="D41" s="6">
        <v>44234</v>
      </c>
      <c r="E41">
        <v>10</v>
      </c>
      <c r="F41" s="2">
        <v>5</v>
      </c>
      <c r="G41" s="6">
        <v>44239</v>
      </c>
      <c r="H41" s="4">
        <v>0.5</v>
      </c>
      <c r="I41" s="2">
        <v>406974</v>
      </c>
      <c r="J41" s="2">
        <v>839000</v>
      </c>
    </row>
    <row r="42" spans="1:10" x14ac:dyDescent="0.3">
      <c r="B42" t="s">
        <v>3</v>
      </c>
      <c r="C42" t="s">
        <v>50</v>
      </c>
      <c r="D42" s="6">
        <v>44235</v>
      </c>
      <c r="E42">
        <v>5</v>
      </c>
      <c r="F42" s="2">
        <v>4</v>
      </c>
      <c r="G42" s="6">
        <v>44240</v>
      </c>
      <c r="H42" s="4">
        <v>0.8</v>
      </c>
      <c r="I42" s="2">
        <v>487139</v>
      </c>
      <c r="J42" s="2">
        <v>729000</v>
      </c>
    </row>
    <row r="43" spans="1:10" x14ac:dyDescent="0.3">
      <c r="B43" t="s">
        <v>5</v>
      </c>
      <c r="C43" t="s">
        <v>49</v>
      </c>
      <c r="D43" s="6">
        <v>44236</v>
      </c>
      <c r="E43">
        <v>7</v>
      </c>
      <c r="F43" s="2">
        <v>3</v>
      </c>
      <c r="G43" s="6">
        <v>44241</v>
      </c>
      <c r="H43" s="4">
        <v>0.42857142857142855</v>
      </c>
      <c r="I43" s="2">
        <v>298186</v>
      </c>
      <c r="J43" s="2">
        <v>826000</v>
      </c>
    </row>
    <row r="44" spans="1:10" x14ac:dyDescent="0.3">
      <c r="B44" t="s">
        <v>7</v>
      </c>
      <c r="C44" t="s">
        <v>51</v>
      </c>
      <c r="D44" s="6">
        <v>44237</v>
      </c>
      <c r="E44">
        <v>7</v>
      </c>
      <c r="F44" s="2">
        <v>2</v>
      </c>
      <c r="G44" s="6">
        <v>44242</v>
      </c>
      <c r="H44" s="4">
        <v>0.2857142857142857</v>
      </c>
      <c r="I44" s="2">
        <v>280583</v>
      </c>
      <c r="J44" s="2">
        <v>895000</v>
      </c>
    </row>
    <row r="45" spans="1:10" x14ac:dyDescent="0.3">
      <c r="B45" t="s">
        <v>9</v>
      </c>
      <c r="C45" t="s">
        <v>48</v>
      </c>
      <c r="D45" s="6">
        <v>44238</v>
      </c>
      <c r="E45">
        <v>3</v>
      </c>
      <c r="F45" s="2">
        <v>2</v>
      </c>
      <c r="G45" s="6">
        <v>44243</v>
      </c>
      <c r="H45" s="4">
        <v>0.66666666666666663</v>
      </c>
      <c r="I45" s="2">
        <v>129785</v>
      </c>
      <c r="J45" s="2">
        <v>341000</v>
      </c>
    </row>
    <row r="46" spans="1:10" x14ac:dyDescent="0.3">
      <c r="A46" t="s">
        <v>16</v>
      </c>
      <c r="I46" s="2">
        <v>8340291</v>
      </c>
      <c r="J46" s="2">
        <v>19695000</v>
      </c>
    </row>
  </sheetData>
  <phoneticPr fontId="2" type="noConversion"/>
  <conditionalFormatting sqref="H6:H45">
    <cfRule type="dataBar" priority="9">
      <dataBar>
        <cfvo type="min"/>
        <cfvo type="max"/>
        <color theme="8" tint="0.39997558519241921"/>
      </dataBar>
      <extLst>
        <ext xmlns:x14="http://schemas.microsoft.com/office/spreadsheetml/2009/9/main" uri="{B025F937-C7B1-47D3-B67F-A62EFF666E3E}">
          <x14:id>{3237F973-C0A7-456B-BCA0-2E691D73D899}</x14:id>
        </ext>
      </extLst>
    </cfRule>
  </conditionalFormatting>
  <conditionalFormatting sqref="K5:AJ5">
    <cfRule type="expression" dxfId="9" priority="5">
      <formula>K$5</formula>
    </cfRule>
    <cfRule type="expression" dxfId="8" priority="4">
      <formula>$K$5</formula>
    </cfRule>
  </conditionalFormatting>
  <conditionalFormatting sqref="K6:AK50">
    <cfRule type="expression" priority="2">
      <formula>AND(WEEKDAY(K$5,2)&gt;5,$B6&lt;&gt;" ")</formula>
    </cfRule>
  </conditionalFormatting>
  <conditionalFormatting sqref="K6:AJ50">
    <cfRule type="expression" dxfId="7" priority="1">
      <formula>AND(WEEKDAY($K$5,2)&gt;5,$B6&lt;&gt;" ")</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Scroll Bar 6">
              <controlPr defaultSize="0" autoPict="0">
                <anchor moveWithCells="1">
                  <from>
                    <xdr:col>7</xdr:col>
                    <xdr:colOff>228600</xdr:colOff>
                    <xdr:row>0</xdr:row>
                    <xdr:rowOff>83820</xdr:rowOff>
                  </from>
                  <to>
                    <xdr:col>10</xdr:col>
                    <xdr:colOff>15240</xdr:colOff>
                    <xdr:row>0</xdr:row>
                    <xdr:rowOff>243840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237F973-C0A7-456B-BCA0-2E691D73D899}">
            <x14:dataBar minLength="0" maxLength="100" gradient="0">
              <x14:cfvo type="autoMin"/>
              <x14:cfvo type="autoMax"/>
              <x14:negativeFillColor rgb="FFFF0000"/>
              <x14:axisColor rgb="FF000000"/>
            </x14:dataBar>
          </x14:cfRule>
          <xm:sqref>H6:H45</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359B-D892-4FA6-9330-DFB10DDD7CC1}">
  <sheetPr codeName="Sheet2"/>
  <dimension ref="A4:J45"/>
  <sheetViews>
    <sheetView topLeftCell="A5" workbookViewId="0">
      <selection activeCell="A4" sqref="A4:J44"/>
    </sheetView>
  </sheetViews>
  <sheetFormatPr defaultRowHeight="14.4" x14ac:dyDescent="0.3"/>
  <cols>
    <col min="4" max="4" width="10.33203125" bestFit="1" customWidth="1"/>
    <col min="6" max="6" width="10.33203125" bestFit="1" customWidth="1"/>
  </cols>
  <sheetData>
    <row r="4" spans="1:10" x14ac:dyDescent="0.3">
      <c r="A4" t="s">
        <v>22</v>
      </c>
      <c r="B4" t="s">
        <v>23</v>
      </c>
      <c r="C4" t="s">
        <v>24</v>
      </c>
      <c r="D4" t="s">
        <v>26</v>
      </c>
      <c r="E4" t="s">
        <v>30</v>
      </c>
      <c r="F4" t="s">
        <v>25</v>
      </c>
      <c r="G4" t="s">
        <v>32</v>
      </c>
      <c r="H4" t="s">
        <v>27</v>
      </c>
      <c r="I4" t="s">
        <v>28</v>
      </c>
      <c r="J4" t="s">
        <v>29</v>
      </c>
    </row>
    <row r="5" spans="1:10" x14ac:dyDescent="0.3">
      <c r="A5" t="s">
        <v>17</v>
      </c>
      <c r="B5" t="s">
        <v>1</v>
      </c>
      <c r="C5" t="s">
        <v>2</v>
      </c>
      <c r="D5" s="3">
        <v>44204</v>
      </c>
      <c r="E5" s="5">
        <v>8</v>
      </c>
      <c r="F5" s="3">
        <v>44199</v>
      </c>
      <c r="G5" s="8">
        <v>3</v>
      </c>
      <c r="H5" s="4">
        <v>0.375</v>
      </c>
      <c r="I5" s="2">
        <v>96000</v>
      </c>
      <c r="J5" s="2">
        <v>32256</v>
      </c>
    </row>
    <row r="6" spans="1:10" x14ac:dyDescent="0.3">
      <c r="A6" t="s">
        <v>17</v>
      </c>
      <c r="B6" t="s">
        <v>3</v>
      </c>
      <c r="C6" t="s">
        <v>4</v>
      </c>
      <c r="D6" s="3">
        <v>44205</v>
      </c>
      <c r="E6" s="5">
        <v>9</v>
      </c>
      <c r="F6" s="3">
        <v>44200</v>
      </c>
      <c r="G6" s="8">
        <v>4</v>
      </c>
      <c r="H6" s="4">
        <v>0.44444444444444442</v>
      </c>
      <c r="I6" s="2">
        <v>513000</v>
      </c>
      <c r="J6" s="2">
        <v>226233</v>
      </c>
    </row>
    <row r="7" spans="1:10" x14ac:dyDescent="0.3">
      <c r="A7" t="s">
        <v>17</v>
      </c>
      <c r="B7" t="s">
        <v>5</v>
      </c>
      <c r="C7" t="s">
        <v>6</v>
      </c>
      <c r="D7" s="3">
        <v>44206</v>
      </c>
      <c r="E7" s="5">
        <v>5</v>
      </c>
      <c r="F7" s="3">
        <v>44201</v>
      </c>
      <c r="G7" s="8">
        <v>3</v>
      </c>
      <c r="H7" s="4">
        <v>0.6</v>
      </c>
      <c r="I7" s="2">
        <v>616000</v>
      </c>
      <c r="J7" s="2">
        <v>401579</v>
      </c>
    </row>
    <row r="8" spans="1:10" x14ac:dyDescent="0.3">
      <c r="A8" t="s">
        <v>17</v>
      </c>
      <c r="B8" t="s">
        <v>7</v>
      </c>
      <c r="C8" t="s">
        <v>8</v>
      </c>
      <c r="D8" s="3">
        <v>44207</v>
      </c>
      <c r="E8" s="5">
        <v>3</v>
      </c>
      <c r="F8" s="3">
        <v>44202</v>
      </c>
      <c r="G8" s="8">
        <v>3</v>
      </c>
      <c r="H8" s="4">
        <v>1</v>
      </c>
      <c r="I8" s="2">
        <v>817000</v>
      </c>
      <c r="J8" s="2">
        <v>807069</v>
      </c>
    </row>
    <row r="9" spans="1:10" x14ac:dyDescent="0.3">
      <c r="A9" t="s">
        <v>17</v>
      </c>
      <c r="B9" t="s">
        <v>9</v>
      </c>
      <c r="C9" t="s">
        <v>10</v>
      </c>
      <c r="D9" s="3">
        <v>44208</v>
      </c>
      <c r="E9" s="5">
        <v>7</v>
      </c>
      <c r="F9" s="3">
        <v>44203</v>
      </c>
      <c r="G9" s="8">
        <v>3</v>
      </c>
      <c r="H9" s="4">
        <v>0.42857142857142855</v>
      </c>
      <c r="I9" s="2">
        <v>372000</v>
      </c>
      <c r="J9" s="2">
        <v>173166</v>
      </c>
    </row>
    <row r="10" spans="1:10" x14ac:dyDescent="0.3">
      <c r="A10" t="s">
        <v>17</v>
      </c>
      <c r="B10" t="s">
        <v>11</v>
      </c>
      <c r="C10" t="s">
        <v>2</v>
      </c>
      <c r="D10" s="3">
        <v>44209</v>
      </c>
      <c r="E10" s="5">
        <v>10</v>
      </c>
      <c r="F10" s="3">
        <v>44204</v>
      </c>
      <c r="G10" s="8">
        <v>2</v>
      </c>
      <c r="H10" s="4">
        <v>0.2</v>
      </c>
      <c r="I10" s="2">
        <v>50000</v>
      </c>
      <c r="J10" s="2">
        <v>8400</v>
      </c>
    </row>
    <row r="11" spans="1:10" x14ac:dyDescent="0.3">
      <c r="A11" t="s">
        <v>17</v>
      </c>
      <c r="B11" t="s">
        <v>12</v>
      </c>
      <c r="C11" t="s">
        <v>4</v>
      </c>
      <c r="D11" s="3">
        <v>44210</v>
      </c>
      <c r="E11" s="5">
        <v>10</v>
      </c>
      <c r="F11" s="3">
        <v>44205</v>
      </c>
      <c r="G11" s="8">
        <v>3</v>
      </c>
      <c r="H11" s="4">
        <v>0.3</v>
      </c>
      <c r="I11" s="2">
        <v>807000</v>
      </c>
      <c r="J11" s="2">
        <v>262679</v>
      </c>
    </row>
    <row r="12" spans="1:10" x14ac:dyDescent="0.3">
      <c r="A12" t="s">
        <v>17</v>
      </c>
      <c r="B12" t="s">
        <v>13</v>
      </c>
      <c r="C12" t="s">
        <v>6</v>
      </c>
      <c r="D12" s="3">
        <v>44211</v>
      </c>
      <c r="E12" s="5">
        <v>3</v>
      </c>
      <c r="F12" s="3">
        <v>44206</v>
      </c>
      <c r="G12" s="8">
        <v>0</v>
      </c>
      <c r="H12" s="4">
        <v>0</v>
      </c>
      <c r="I12" s="2">
        <v>691000</v>
      </c>
      <c r="J12" s="2">
        <v>0</v>
      </c>
    </row>
    <row r="13" spans="1:10" x14ac:dyDescent="0.3">
      <c r="A13" t="s">
        <v>18</v>
      </c>
      <c r="B13" t="s">
        <v>1</v>
      </c>
      <c r="C13" t="s">
        <v>8</v>
      </c>
      <c r="D13" s="3">
        <v>44212</v>
      </c>
      <c r="E13" s="5">
        <v>9</v>
      </c>
      <c r="F13" s="3">
        <v>44207</v>
      </c>
      <c r="G13" s="8">
        <v>8</v>
      </c>
      <c r="H13" s="4">
        <v>0.88888888888888884</v>
      </c>
      <c r="I13" s="2">
        <v>787000</v>
      </c>
      <c r="J13" s="2">
        <v>727188</v>
      </c>
    </row>
    <row r="14" spans="1:10" x14ac:dyDescent="0.3">
      <c r="A14" t="s">
        <v>18</v>
      </c>
      <c r="B14" t="s">
        <v>3</v>
      </c>
      <c r="C14" t="s">
        <v>10</v>
      </c>
      <c r="D14" s="3">
        <v>44213</v>
      </c>
      <c r="E14" s="5">
        <v>10</v>
      </c>
      <c r="F14" s="3">
        <v>44208</v>
      </c>
      <c r="G14" s="8">
        <v>2</v>
      </c>
      <c r="H14" s="4">
        <v>0.2</v>
      </c>
      <c r="I14" s="2">
        <v>228000</v>
      </c>
      <c r="J14" s="2">
        <v>47880</v>
      </c>
    </row>
    <row r="15" spans="1:10" x14ac:dyDescent="0.3">
      <c r="A15" t="s">
        <v>18</v>
      </c>
      <c r="B15" t="s">
        <v>5</v>
      </c>
      <c r="C15" t="s">
        <v>2</v>
      </c>
      <c r="D15" s="3">
        <v>44214</v>
      </c>
      <c r="E15" s="5">
        <v>4</v>
      </c>
      <c r="F15" s="3">
        <v>44209</v>
      </c>
      <c r="G15" s="8">
        <v>0</v>
      </c>
      <c r="H15" s="4">
        <v>0</v>
      </c>
      <c r="I15" s="2">
        <v>147000</v>
      </c>
      <c r="J15" s="2">
        <v>0</v>
      </c>
    </row>
    <row r="16" spans="1:10" x14ac:dyDescent="0.3">
      <c r="A16" t="s">
        <v>18</v>
      </c>
      <c r="B16" t="s">
        <v>7</v>
      </c>
      <c r="C16" t="s">
        <v>4</v>
      </c>
      <c r="D16" s="3">
        <v>44215</v>
      </c>
      <c r="E16" s="5">
        <v>8</v>
      </c>
      <c r="F16" s="3">
        <v>44210</v>
      </c>
      <c r="G16" s="8">
        <v>5</v>
      </c>
      <c r="H16" s="4">
        <v>0.625</v>
      </c>
      <c r="I16" s="2">
        <v>338000</v>
      </c>
      <c r="J16" s="2">
        <v>205123</v>
      </c>
    </row>
    <row r="17" spans="1:10" x14ac:dyDescent="0.3">
      <c r="A17" t="s">
        <v>18</v>
      </c>
      <c r="B17" t="s">
        <v>9</v>
      </c>
      <c r="C17" t="s">
        <v>6</v>
      </c>
      <c r="D17" s="3">
        <v>44216</v>
      </c>
      <c r="E17" s="5">
        <v>10</v>
      </c>
      <c r="F17" s="3">
        <v>44211</v>
      </c>
      <c r="G17" s="8">
        <v>3</v>
      </c>
      <c r="H17" s="4">
        <v>0.3</v>
      </c>
      <c r="I17" s="2">
        <v>857000</v>
      </c>
      <c r="J17" s="2">
        <v>305949</v>
      </c>
    </row>
    <row r="18" spans="1:10" x14ac:dyDescent="0.3">
      <c r="A18" t="s">
        <v>18</v>
      </c>
      <c r="B18" t="s">
        <v>11</v>
      </c>
      <c r="C18" t="s">
        <v>8</v>
      </c>
      <c r="D18" s="3">
        <v>44217</v>
      </c>
      <c r="E18" s="5">
        <v>6</v>
      </c>
      <c r="F18" s="3">
        <v>44212</v>
      </c>
      <c r="G18" s="8">
        <v>3</v>
      </c>
      <c r="H18" s="4">
        <v>0.5</v>
      </c>
      <c r="I18" s="2">
        <v>602000</v>
      </c>
      <c r="J18" s="2">
        <v>322371</v>
      </c>
    </row>
    <row r="19" spans="1:10" x14ac:dyDescent="0.3">
      <c r="A19" t="s">
        <v>18</v>
      </c>
      <c r="B19" t="s">
        <v>12</v>
      </c>
      <c r="C19" t="s">
        <v>10</v>
      </c>
      <c r="D19" s="3">
        <v>44218</v>
      </c>
      <c r="E19" s="5">
        <v>4</v>
      </c>
      <c r="F19" s="3">
        <v>44213</v>
      </c>
      <c r="G19" s="8">
        <v>2</v>
      </c>
      <c r="H19" s="4">
        <v>0.5</v>
      </c>
      <c r="I19" s="2">
        <v>990000</v>
      </c>
      <c r="J19" s="2">
        <v>451440</v>
      </c>
    </row>
    <row r="20" spans="1:10" x14ac:dyDescent="0.3">
      <c r="A20" t="s">
        <v>19</v>
      </c>
      <c r="B20" t="s">
        <v>1</v>
      </c>
      <c r="C20" t="s">
        <v>8</v>
      </c>
      <c r="D20" s="3">
        <v>44219</v>
      </c>
      <c r="E20" s="5">
        <v>5</v>
      </c>
      <c r="F20" s="3">
        <v>44214</v>
      </c>
      <c r="G20" s="8">
        <v>2</v>
      </c>
      <c r="H20" s="4">
        <v>0.4</v>
      </c>
      <c r="I20" s="2">
        <v>218000</v>
      </c>
      <c r="J20" s="2">
        <v>97337</v>
      </c>
    </row>
    <row r="21" spans="1:10" x14ac:dyDescent="0.3">
      <c r="A21" t="s">
        <v>19</v>
      </c>
      <c r="B21" t="s">
        <v>3</v>
      </c>
      <c r="C21" t="s">
        <v>10</v>
      </c>
      <c r="D21" s="3">
        <v>44220</v>
      </c>
      <c r="E21" s="5">
        <v>6</v>
      </c>
      <c r="F21" s="3">
        <v>44215</v>
      </c>
      <c r="G21" s="8">
        <v>3</v>
      </c>
      <c r="H21" s="4">
        <v>0.5</v>
      </c>
      <c r="I21" s="2">
        <v>393000</v>
      </c>
      <c r="J21" s="2">
        <v>177440</v>
      </c>
    </row>
    <row r="22" spans="1:10" x14ac:dyDescent="0.3">
      <c r="A22" t="s">
        <v>19</v>
      </c>
      <c r="B22" t="s">
        <v>5</v>
      </c>
      <c r="C22" t="s">
        <v>2</v>
      </c>
      <c r="D22" s="3">
        <v>44221</v>
      </c>
      <c r="E22" s="5">
        <v>10</v>
      </c>
      <c r="F22" s="3">
        <v>44216</v>
      </c>
      <c r="G22" s="8">
        <v>4</v>
      </c>
      <c r="H22" s="4">
        <v>0.4</v>
      </c>
      <c r="I22" s="2">
        <v>86000</v>
      </c>
      <c r="J22" s="2">
        <v>31046</v>
      </c>
    </row>
    <row r="23" spans="1:10" x14ac:dyDescent="0.3">
      <c r="A23" t="s">
        <v>19</v>
      </c>
      <c r="B23" t="s">
        <v>7</v>
      </c>
      <c r="C23" t="s">
        <v>4</v>
      </c>
      <c r="D23" s="3">
        <v>44222</v>
      </c>
      <c r="E23" s="5">
        <v>9</v>
      </c>
      <c r="F23" s="3">
        <v>44217</v>
      </c>
      <c r="G23" s="8">
        <v>3</v>
      </c>
      <c r="H23" s="4">
        <v>0.33333333333333331</v>
      </c>
      <c r="I23" s="2">
        <v>732000</v>
      </c>
      <c r="J23" s="2">
        <v>261324</v>
      </c>
    </row>
    <row r="24" spans="1:10" x14ac:dyDescent="0.3">
      <c r="A24" t="s">
        <v>19</v>
      </c>
      <c r="B24" t="s">
        <v>9</v>
      </c>
      <c r="C24" t="s">
        <v>6</v>
      </c>
      <c r="D24" s="3">
        <v>44223</v>
      </c>
      <c r="E24" s="5">
        <v>4</v>
      </c>
      <c r="F24" s="3">
        <v>44218</v>
      </c>
      <c r="G24" s="8">
        <v>1</v>
      </c>
      <c r="H24" s="4">
        <v>0.25</v>
      </c>
      <c r="I24" s="2">
        <v>492000</v>
      </c>
      <c r="J24" s="2">
        <v>116850</v>
      </c>
    </row>
    <row r="25" spans="1:10" x14ac:dyDescent="0.3">
      <c r="A25" t="s">
        <v>19</v>
      </c>
      <c r="B25" t="s">
        <v>11</v>
      </c>
      <c r="C25" t="s">
        <v>8</v>
      </c>
      <c r="D25" s="3">
        <v>44224</v>
      </c>
      <c r="E25" s="5">
        <v>6</v>
      </c>
      <c r="F25" s="3">
        <v>44219</v>
      </c>
      <c r="G25" s="8">
        <v>0</v>
      </c>
      <c r="H25" s="4">
        <v>0</v>
      </c>
      <c r="I25" s="2">
        <v>188000</v>
      </c>
      <c r="J25" s="2">
        <v>0</v>
      </c>
    </row>
    <row r="26" spans="1:10" x14ac:dyDescent="0.3">
      <c r="A26" t="s">
        <v>19</v>
      </c>
      <c r="B26" t="s">
        <v>12</v>
      </c>
      <c r="C26" t="s">
        <v>10</v>
      </c>
      <c r="D26" s="3">
        <v>44225</v>
      </c>
      <c r="E26" s="5">
        <v>7</v>
      </c>
      <c r="F26" s="3">
        <v>44220</v>
      </c>
      <c r="G26" s="8">
        <v>3</v>
      </c>
      <c r="H26" s="4">
        <v>0.42857142857142855</v>
      </c>
      <c r="I26" s="2">
        <v>180000</v>
      </c>
      <c r="J26" s="2">
        <v>79380</v>
      </c>
    </row>
    <row r="27" spans="1:10" x14ac:dyDescent="0.3">
      <c r="A27" t="s">
        <v>19</v>
      </c>
      <c r="B27" t="s">
        <v>13</v>
      </c>
      <c r="C27" t="s">
        <v>2</v>
      </c>
      <c r="D27" s="3">
        <v>44226</v>
      </c>
      <c r="E27" s="5">
        <v>5</v>
      </c>
      <c r="F27" s="3">
        <v>44221</v>
      </c>
      <c r="G27" s="8">
        <v>2</v>
      </c>
      <c r="H27" s="4">
        <v>0.4</v>
      </c>
      <c r="I27" s="2">
        <v>582000</v>
      </c>
      <c r="J27" s="2">
        <v>195231</v>
      </c>
    </row>
    <row r="28" spans="1:10" x14ac:dyDescent="0.3">
      <c r="A28" t="s">
        <v>19</v>
      </c>
      <c r="B28" t="s">
        <v>14</v>
      </c>
      <c r="C28" t="s">
        <v>4</v>
      </c>
      <c r="D28" s="3">
        <v>44227</v>
      </c>
      <c r="E28" s="5">
        <v>9</v>
      </c>
      <c r="F28" s="3">
        <v>44222</v>
      </c>
      <c r="G28" s="8">
        <v>1</v>
      </c>
      <c r="H28" s="4">
        <v>0.1111111111111111</v>
      </c>
      <c r="I28" s="2">
        <v>562000</v>
      </c>
      <c r="J28" s="2">
        <v>74746</v>
      </c>
    </row>
    <row r="29" spans="1:10" x14ac:dyDescent="0.3">
      <c r="A29" t="s">
        <v>19</v>
      </c>
      <c r="B29" t="s">
        <v>15</v>
      </c>
      <c r="C29" t="s">
        <v>6</v>
      </c>
      <c r="D29" s="3">
        <v>44228</v>
      </c>
      <c r="E29" s="5">
        <v>6</v>
      </c>
      <c r="F29" s="3">
        <v>44223</v>
      </c>
      <c r="G29" s="8">
        <v>3</v>
      </c>
      <c r="H29" s="4">
        <v>0.5</v>
      </c>
      <c r="I29" s="2">
        <v>416000</v>
      </c>
      <c r="J29" s="2">
        <v>175015</v>
      </c>
    </row>
    <row r="30" spans="1:10" x14ac:dyDescent="0.3">
      <c r="A30" t="s">
        <v>20</v>
      </c>
      <c r="B30" t="s">
        <v>1</v>
      </c>
      <c r="C30" t="s">
        <v>8</v>
      </c>
      <c r="D30" s="3">
        <v>44229</v>
      </c>
      <c r="E30" s="5">
        <v>7</v>
      </c>
      <c r="F30" s="3">
        <v>44224</v>
      </c>
      <c r="G30" s="8">
        <v>7</v>
      </c>
      <c r="H30" s="4">
        <v>1</v>
      </c>
      <c r="I30" s="2">
        <v>293000</v>
      </c>
      <c r="J30" s="2">
        <v>273001</v>
      </c>
    </row>
    <row r="31" spans="1:10" x14ac:dyDescent="0.3">
      <c r="A31" t="s">
        <v>20</v>
      </c>
      <c r="B31" t="s">
        <v>3</v>
      </c>
      <c r="C31" t="s">
        <v>10</v>
      </c>
      <c r="D31" s="3">
        <v>44230</v>
      </c>
      <c r="E31" s="5">
        <v>9</v>
      </c>
      <c r="F31" s="3">
        <v>44225</v>
      </c>
      <c r="G31" s="8">
        <v>4</v>
      </c>
      <c r="H31" s="4">
        <v>0.44444444444444442</v>
      </c>
      <c r="I31" s="2">
        <v>224000</v>
      </c>
      <c r="J31" s="2">
        <v>57910</v>
      </c>
    </row>
    <row r="32" spans="1:10" x14ac:dyDescent="0.3">
      <c r="A32" t="s">
        <v>20</v>
      </c>
      <c r="B32" t="s">
        <v>5</v>
      </c>
      <c r="C32" t="s">
        <v>2</v>
      </c>
      <c r="D32" s="3">
        <v>44231</v>
      </c>
      <c r="E32" s="5">
        <v>8</v>
      </c>
      <c r="F32" s="3">
        <v>44226</v>
      </c>
      <c r="G32" s="8">
        <v>0</v>
      </c>
      <c r="H32" s="4">
        <v>0</v>
      </c>
      <c r="I32" s="2">
        <v>978000</v>
      </c>
      <c r="J32" s="2">
        <v>0</v>
      </c>
    </row>
    <row r="33" spans="1:10" x14ac:dyDescent="0.3">
      <c r="A33" t="s">
        <v>20</v>
      </c>
      <c r="B33" t="s">
        <v>7</v>
      </c>
      <c r="C33" t="s">
        <v>4</v>
      </c>
      <c r="D33" s="3">
        <v>44232</v>
      </c>
      <c r="E33" s="5">
        <v>7</v>
      </c>
      <c r="F33" s="3">
        <v>44227</v>
      </c>
      <c r="G33" s="8">
        <v>3</v>
      </c>
      <c r="H33" s="4">
        <v>0.42857142857142855</v>
      </c>
      <c r="I33" s="2">
        <v>932000</v>
      </c>
      <c r="J33" s="2">
        <v>379157</v>
      </c>
    </row>
    <row r="34" spans="1:10" x14ac:dyDescent="0.3">
      <c r="A34" t="s">
        <v>20</v>
      </c>
      <c r="B34" t="s">
        <v>9</v>
      </c>
      <c r="C34" t="s">
        <v>6</v>
      </c>
      <c r="D34" s="3">
        <v>44233</v>
      </c>
      <c r="E34" s="5">
        <v>4</v>
      </c>
      <c r="F34" s="3">
        <v>44228</v>
      </c>
      <c r="G34" s="8">
        <v>1</v>
      </c>
      <c r="H34" s="4">
        <v>0.25</v>
      </c>
      <c r="I34" s="2">
        <v>854000</v>
      </c>
      <c r="J34" s="2">
        <v>322812</v>
      </c>
    </row>
    <row r="35" spans="1:10" x14ac:dyDescent="0.3">
      <c r="A35" t="s">
        <v>20</v>
      </c>
      <c r="B35" t="s">
        <v>11</v>
      </c>
      <c r="C35" t="s">
        <v>8</v>
      </c>
      <c r="D35" s="3">
        <v>44234</v>
      </c>
      <c r="E35" s="5">
        <v>6</v>
      </c>
      <c r="F35" s="3">
        <v>44229</v>
      </c>
      <c r="G35" s="8">
        <v>3</v>
      </c>
      <c r="H35" s="4">
        <v>0.5</v>
      </c>
      <c r="I35" s="2">
        <v>81000</v>
      </c>
      <c r="J35" s="2">
        <v>38461</v>
      </c>
    </row>
    <row r="36" spans="1:10" x14ac:dyDescent="0.3">
      <c r="A36" t="s">
        <v>20</v>
      </c>
      <c r="B36" t="s">
        <v>12</v>
      </c>
      <c r="C36" t="s">
        <v>10</v>
      </c>
      <c r="D36" s="3">
        <v>44235</v>
      </c>
      <c r="E36" s="5">
        <v>6</v>
      </c>
      <c r="F36" s="3">
        <v>44230</v>
      </c>
      <c r="G36" s="8">
        <v>5</v>
      </c>
      <c r="H36" s="4">
        <v>0.83333333333333337</v>
      </c>
      <c r="I36" s="2">
        <v>169000</v>
      </c>
      <c r="J36" s="2">
        <v>136468</v>
      </c>
    </row>
    <row r="37" spans="1:10" x14ac:dyDescent="0.3">
      <c r="A37" t="s">
        <v>20</v>
      </c>
      <c r="B37" t="s">
        <v>13</v>
      </c>
      <c r="C37" t="s">
        <v>2</v>
      </c>
      <c r="D37" s="3">
        <v>44236</v>
      </c>
      <c r="E37" s="5">
        <v>4</v>
      </c>
      <c r="F37" s="3">
        <v>44231</v>
      </c>
      <c r="G37" s="8">
        <v>1</v>
      </c>
      <c r="H37" s="4">
        <v>0.25</v>
      </c>
      <c r="I37" s="2">
        <v>61000</v>
      </c>
      <c r="J37" s="2">
        <v>12078</v>
      </c>
    </row>
    <row r="38" spans="1:10" x14ac:dyDescent="0.3">
      <c r="A38" t="s">
        <v>20</v>
      </c>
      <c r="B38" t="s">
        <v>14</v>
      </c>
      <c r="C38" t="s">
        <v>4</v>
      </c>
      <c r="D38" s="3">
        <v>44237</v>
      </c>
      <c r="E38" s="5">
        <v>7</v>
      </c>
      <c r="F38" s="3">
        <v>44232</v>
      </c>
      <c r="G38" s="8">
        <v>3</v>
      </c>
      <c r="H38" s="4">
        <v>0.42857142857142855</v>
      </c>
      <c r="I38" s="2">
        <v>645000</v>
      </c>
      <c r="J38" s="2">
        <v>273048</v>
      </c>
    </row>
    <row r="39" spans="1:10" x14ac:dyDescent="0.3">
      <c r="A39" t="s">
        <v>20</v>
      </c>
      <c r="B39" t="s">
        <v>15</v>
      </c>
      <c r="C39" t="s">
        <v>6</v>
      </c>
      <c r="D39" s="3">
        <v>44238</v>
      </c>
      <c r="E39" s="5">
        <v>3</v>
      </c>
      <c r="F39" s="3">
        <v>44233</v>
      </c>
      <c r="G39" s="8">
        <v>3</v>
      </c>
      <c r="H39" s="4">
        <v>1</v>
      </c>
      <c r="I39" s="2">
        <v>68000</v>
      </c>
      <c r="J39" s="2">
        <v>64987</v>
      </c>
    </row>
    <row r="40" spans="1:10" x14ac:dyDescent="0.3">
      <c r="A40" t="s">
        <v>21</v>
      </c>
      <c r="B40" t="s">
        <v>1</v>
      </c>
      <c r="C40" t="s">
        <v>8</v>
      </c>
      <c r="D40" s="3">
        <v>44239</v>
      </c>
      <c r="E40" s="5">
        <v>10</v>
      </c>
      <c r="F40" s="3">
        <v>44234</v>
      </c>
      <c r="G40" s="8">
        <v>5</v>
      </c>
      <c r="H40" s="4">
        <v>0.5</v>
      </c>
      <c r="I40" s="2">
        <v>839000</v>
      </c>
      <c r="J40" s="2">
        <v>406974</v>
      </c>
    </row>
    <row r="41" spans="1:10" x14ac:dyDescent="0.3">
      <c r="A41" t="s">
        <v>21</v>
      </c>
      <c r="B41" t="s">
        <v>3</v>
      </c>
      <c r="C41" t="s">
        <v>10</v>
      </c>
      <c r="D41" s="3">
        <v>44240</v>
      </c>
      <c r="E41" s="5">
        <v>5</v>
      </c>
      <c r="F41" s="3">
        <v>44235</v>
      </c>
      <c r="G41" s="8">
        <v>4</v>
      </c>
      <c r="H41" s="4">
        <v>0.8</v>
      </c>
      <c r="I41" s="2">
        <v>729000</v>
      </c>
      <c r="J41" s="2">
        <v>487139</v>
      </c>
    </row>
    <row r="42" spans="1:10" x14ac:dyDescent="0.3">
      <c r="A42" t="s">
        <v>21</v>
      </c>
      <c r="B42" t="s">
        <v>5</v>
      </c>
      <c r="C42" t="s">
        <v>2</v>
      </c>
      <c r="D42" s="3">
        <v>44241</v>
      </c>
      <c r="E42" s="5">
        <v>7</v>
      </c>
      <c r="F42" s="3">
        <v>44236</v>
      </c>
      <c r="G42" s="8">
        <v>3</v>
      </c>
      <c r="H42" s="4">
        <v>0.42857142857142855</v>
      </c>
      <c r="I42" s="2">
        <v>826000</v>
      </c>
      <c r="J42" s="2">
        <v>298186</v>
      </c>
    </row>
    <row r="43" spans="1:10" x14ac:dyDescent="0.3">
      <c r="A43" t="s">
        <v>21</v>
      </c>
      <c r="B43" t="s">
        <v>7</v>
      </c>
      <c r="C43" t="s">
        <v>4</v>
      </c>
      <c r="D43" s="3">
        <v>44242</v>
      </c>
      <c r="E43" s="5">
        <v>7</v>
      </c>
      <c r="F43" s="3">
        <v>44237</v>
      </c>
      <c r="G43" s="8">
        <v>2</v>
      </c>
      <c r="H43" s="4">
        <v>0.2857142857142857</v>
      </c>
      <c r="I43" s="2">
        <v>895000</v>
      </c>
      <c r="J43" s="2">
        <v>280583</v>
      </c>
    </row>
    <row r="44" spans="1:10" x14ac:dyDescent="0.3">
      <c r="A44" t="s">
        <v>21</v>
      </c>
      <c r="B44" t="s">
        <v>9</v>
      </c>
      <c r="C44" t="s">
        <v>6</v>
      </c>
      <c r="D44" s="3">
        <v>44243</v>
      </c>
      <c r="E44" s="5">
        <v>3</v>
      </c>
      <c r="F44" s="3">
        <v>44238</v>
      </c>
      <c r="G44" s="8">
        <v>2</v>
      </c>
      <c r="H44" s="4">
        <v>0.66666666666666663</v>
      </c>
      <c r="I44" s="2">
        <v>341000</v>
      </c>
      <c r="J44" s="2">
        <v>129785</v>
      </c>
    </row>
    <row r="45" spans="1:10" x14ac:dyDescent="0.3">
      <c r="A45" t="s">
        <v>16</v>
      </c>
      <c r="I45" s="2">
        <v>19695000</v>
      </c>
      <c r="J45" s="2">
        <v>8340291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755C7-1A15-4C5F-ACF7-8020F600540B}">
  <sheetPr codeName="Sheet3"/>
  <dimension ref="A3:L45"/>
  <sheetViews>
    <sheetView workbookViewId="0">
      <selection activeCell="G9" sqref="G9"/>
    </sheetView>
  </sheetViews>
  <sheetFormatPr defaultRowHeight="14.4" x14ac:dyDescent="0.3"/>
  <cols>
    <col min="4" max="4" width="20.5546875" bestFit="1" customWidth="1"/>
    <col min="5" max="5" width="4" bestFit="1" customWidth="1"/>
    <col min="7" max="7" width="15.77734375" customWidth="1"/>
    <col min="10" max="10" width="15.77734375" customWidth="1"/>
    <col min="11" max="11" width="7.33203125" bestFit="1" customWidth="1"/>
    <col min="12" max="12" width="8" bestFit="1" customWidth="1"/>
  </cols>
  <sheetData>
    <row r="3" spans="1:12" x14ac:dyDescent="0.3">
      <c r="A3" t="s">
        <v>35</v>
      </c>
      <c r="B3">
        <f>COUNTIF(Dashboard!H6:H45,"="&amp;0)</f>
        <v>4</v>
      </c>
      <c r="D3" s="7" t="s">
        <v>41</v>
      </c>
      <c r="K3" t="s">
        <v>34</v>
      </c>
      <c r="L3" t="s">
        <v>44</v>
      </c>
    </row>
    <row r="4" spans="1:12" x14ac:dyDescent="0.3">
      <c r="A4" t="s">
        <v>36</v>
      </c>
      <c r="B4">
        <f>COUNTIFS(Dashboard!H6:H45,"&lt;&gt;"&amp;0,Dashboard!H6:H45,"&lt;"&amp;1)</f>
        <v>33</v>
      </c>
      <c r="D4" s="10" t="s">
        <v>40</v>
      </c>
      <c r="E4">
        <v>266</v>
      </c>
      <c r="G4" t="s">
        <v>42</v>
      </c>
      <c r="H4" s="11">
        <f>GETPIVOTDATA("Sum of Days Completed",$D$3)/GETPIVOTDATA("Sum of Duration",$D$3)</f>
        <v>0.42105263157894735</v>
      </c>
      <c r="J4" t="s">
        <v>45</v>
      </c>
      <c r="K4" s="12">
        <v>8340291</v>
      </c>
      <c r="L4" s="12">
        <v>19695000</v>
      </c>
    </row>
    <row r="5" spans="1:12" x14ac:dyDescent="0.3">
      <c r="A5" t="s">
        <v>31</v>
      </c>
      <c r="B5">
        <f>COUNTIF(Dashboard!H6:H45,"="&amp;1)</f>
        <v>3</v>
      </c>
      <c r="D5" s="10" t="s">
        <v>39</v>
      </c>
      <c r="E5">
        <v>112</v>
      </c>
      <c r="G5" s="2" t="s">
        <v>43</v>
      </c>
      <c r="H5" s="11">
        <f>1-H4</f>
        <v>0.57894736842105265</v>
      </c>
      <c r="I5" s="2"/>
      <c r="J5" s="2" t="s">
        <v>46</v>
      </c>
      <c r="K5" s="13">
        <v>0.42</v>
      </c>
      <c r="L5" s="13">
        <v>0.57999999999999996</v>
      </c>
    </row>
    <row r="6" spans="1:12" x14ac:dyDescent="0.3">
      <c r="A6" t="s">
        <v>37</v>
      </c>
      <c r="B6">
        <f>B3+B4</f>
        <v>37</v>
      </c>
      <c r="G6" s="8"/>
      <c r="H6" s="4"/>
      <c r="I6" s="2"/>
      <c r="J6" s="2"/>
    </row>
    <row r="7" spans="1:12" x14ac:dyDescent="0.3">
      <c r="A7" t="s">
        <v>38</v>
      </c>
      <c r="B7">
        <f>SUM(B3:B5)</f>
        <v>40</v>
      </c>
      <c r="G7" s="8"/>
      <c r="H7" s="4"/>
      <c r="I7" s="2"/>
      <c r="J7" s="2"/>
    </row>
    <row r="8" spans="1:12" x14ac:dyDescent="0.3">
      <c r="G8" s="8"/>
      <c r="H8" s="4"/>
      <c r="I8" s="2"/>
      <c r="J8" s="2"/>
    </row>
    <row r="9" spans="1:12" x14ac:dyDescent="0.3">
      <c r="G9" s="8">
        <v>0</v>
      </c>
      <c r="H9" s="4"/>
      <c r="I9" s="2"/>
      <c r="J9" s="2"/>
    </row>
    <row r="10" spans="1:12" x14ac:dyDescent="0.3">
      <c r="G10" s="8"/>
      <c r="H10" s="4"/>
      <c r="I10" s="2"/>
      <c r="J10" s="2"/>
    </row>
    <row r="11" spans="1:12" x14ac:dyDescent="0.3">
      <c r="G11" s="8"/>
      <c r="H11" s="4"/>
      <c r="I11" s="2"/>
      <c r="J11" s="2"/>
    </row>
    <row r="12" spans="1:12" x14ac:dyDescent="0.3">
      <c r="G12" s="8"/>
      <c r="H12" s="4"/>
      <c r="I12" s="2"/>
      <c r="J12" s="2"/>
    </row>
    <row r="13" spans="1:12" x14ac:dyDescent="0.3">
      <c r="G13" s="8"/>
      <c r="H13" s="4"/>
      <c r="I13" s="2"/>
      <c r="J13" s="2"/>
    </row>
    <row r="14" spans="1:12" x14ac:dyDescent="0.3">
      <c r="G14" s="8"/>
      <c r="H14" s="4"/>
      <c r="I14" s="2"/>
      <c r="J14" s="2"/>
    </row>
    <row r="15" spans="1:12" x14ac:dyDescent="0.3">
      <c r="G15" s="8"/>
      <c r="H15" s="4"/>
      <c r="I15" s="2"/>
      <c r="J15" s="2"/>
    </row>
    <row r="16" spans="1:12" x14ac:dyDescent="0.3">
      <c r="G16" s="8"/>
      <c r="H16" s="4"/>
      <c r="I16" s="2"/>
      <c r="J16" s="2"/>
    </row>
    <row r="17" spans="4:11" x14ac:dyDescent="0.3">
      <c r="G17" s="8"/>
      <c r="H17" s="4"/>
      <c r="I17" s="2"/>
      <c r="J17" s="2"/>
    </row>
    <row r="18" spans="4:11" x14ac:dyDescent="0.3">
      <c r="G18" s="8"/>
      <c r="H18" s="4"/>
      <c r="I18" s="2"/>
      <c r="J18" s="2"/>
    </row>
    <row r="19" spans="4:11" x14ac:dyDescent="0.3">
      <c r="G19" s="8"/>
      <c r="H19" s="4"/>
      <c r="I19" s="2"/>
      <c r="J19" s="2"/>
    </row>
    <row r="20" spans="4:11" x14ac:dyDescent="0.3">
      <c r="G20" s="8"/>
      <c r="H20" s="4"/>
      <c r="I20" s="2"/>
      <c r="J20" s="2"/>
    </row>
    <row r="21" spans="4:11" x14ac:dyDescent="0.3">
      <c r="D21" s="3"/>
      <c r="E21" s="5"/>
      <c r="F21" s="3"/>
      <c r="G21" s="8"/>
      <c r="H21" s="4"/>
      <c r="I21" s="2"/>
      <c r="J21" s="2"/>
      <c r="K21" s="2"/>
    </row>
    <row r="22" spans="4:11" x14ac:dyDescent="0.3">
      <c r="D22" s="3"/>
      <c r="E22" s="5"/>
      <c r="F22" s="3"/>
      <c r="G22" s="8"/>
      <c r="H22" s="4"/>
      <c r="I22" s="2"/>
      <c r="J22" s="2"/>
      <c r="K22" s="2"/>
    </row>
    <row r="23" spans="4:11" x14ac:dyDescent="0.3">
      <c r="D23" s="3"/>
      <c r="E23" s="5"/>
      <c r="F23" s="3"/>
      <c r="G23" s="8"/>
      <c r="H23" s="4"/>
      <c r="I23" s="2"/>
      <c r="J23" s="2"/>
      <c r="K23" s="2"/>
    </row>
    <row r="24" spans="4:11" x14ac:dyDescent="0.3">
      <c r="D24" s="3"/>
      <c r="E24" s="5"/>
      <c r="F24" s="3"/>
      <c r="G24" s="8"/>
      <c r="H24" s="4"/>
      <c r="I24" s="2"/>
      <c r="J24" s="2"/>
      <c r="K24" s="2"/>
    </row>
    <row r="25" spans="4:11" x14ac:dyDescent="0.3">
      <c r="D25" s="3"/>
      <c r="E25" s="5"/>
      <c r="F25" s="3"/>
      <c r="G25" s="8"/>
      <c r="H25" s="4"/>
      <c r="I25" s="2"/>
      <c r="J25" s="2"/>
      <c r="K25" s="2"/>
    </row>
    <row r="26" spans="4:11" x14ac:dyDescent="0.3">
      <c r="D26" s="3"/>
      <c r="E26" s="5"/>
      <c r="F26" s="3"/>
      <c r="G26" s="8"/>
      <c r="H26" s="4"/>
      <c r="I26" s="2"/>
      <c r="J26" s="2"/>
      <c r="K26" s="2"/>
    </row>
    <row r="27" spans="4:11" x14ac:dyDescent="0.3">
      <c r="D27" s="3"/>
      <c r="E27" s="5"/>
      <c r="F27" s="3"/>
      <c r="G27" s="8"/>
      <c r="H27" s="4"/>
      <c r="I27" s="2"/>
      <c r="J27" s="2"/>
      <c r="K27" s="2"/>
    </row>
    <row r="28" spans="4:11" x14ac:dyDescent="0.3">
      <c r="D28" s="3"/>
      <c r="E28" s="5"/>
      <c r="F28" s="3"/>
      <c r="G28" s="8"/>
      <c r="H28" s="4"/>
      <c r="I28" s="2"/>
      <c r="J28" s="2"/>
      <c r="K28" s="2"/>
    </row>
    <row r="29" spans="4:11" x14ac:dyDescent="0.3">
      <c r="D29" s="3"/>
      <c r="E29" s="5"/>
      <c r="F29" s="3"/>
      <c r="G29" s="8"/>
      <c r="H29" s="4"/>
      <c r="I29" s="2"/>
      <c r="J29" s="2"/>
      <c r="K29" s="2"/>
    </row>
    <row r="30" spans="4:11" x14ac:dyDescent="0.3">
      <c r="D30" s="3"/>
      <c r="E30" s="5"/>
      <c r="F30" s="3"/>
      <c r="G30" s="8"/>
      <c r="H30" s="4"/>
      <c r="I30" s="2"/>
      <c r="J30" s="2"/>
      <c r="K30" s="2"/>
    </row>
    <row r="31" spans="4:11" x14ac:dyDescent="0.3">
      <c r="D31" s="3"/>
      <c r="E31" s="5"/>
      <c r="F31" s="3"/>
      <c r="G31" s="8"/>
      <c r="H31" s="4"/>
      <c r="I31" s="2"/>
      <c r="J31" s="2"/>
      <c r="K31" s="2"/>
    </row>
    <row r="32" spans="4:11" x14ac:dyDescent="0.3">
      <c r="D32" s="3"/>
      <c r="E32" s="5"/>
      <c r="F32" s="3"/>
      <c r="G32" s="8"/>
      <c r="H32" s="4"/>
      <c r="I32" s="2"/>
      <c r="J32" s="2"/>
      <c r="K32" s="2"/>
    </row>
    <row r="33" spans="4:11" x14ac:dyDescent="0.3">
      <c r="D33" s="3"/>
      <c r="E33" s="5"/>
      <c r="F33" s="3"/>
      <c r="G33" s="8"/>
      <c r="H33" s="4"/>
      <c r="I33" s="2"/>
      <c r="J33" s="2"/>
      <c r="K33" s="2"/>
    </row>
    <row r="34" spans="4:11" x14ac:dyDescent="0.3">
      <c r="D34" s="3"/>
      <c r="E34" s="5"/>
      <c r="F34" s="3"/>
      <c r="G34" s="8"/>
      <c r="H34" s="4"/>
      <c r="I34" s="2"/>
      <c r="J34" s="2"/>
      <c r="K34" s="2"/>
    </row>
    <row r="35" spans="4:11" x14ac:dyDescent="0.3">
      <c r="D35" s="3"/>
      <c r="E35" s="5"/>
      <c r="F35" s="3"/>
      <c r="G35" s="8"/>
      <c r="H35" s="4"/>
      <c r="I35" s="2"/>
      <c r="J35" s="2"/>
      <c r="K35" s="2"/>
    </row>
    <row r="36" spans="4:11" x14ac:dyDescent="0.3">
      <c r="D36" s="3"/>
      <c r="E36" s="5"/>
      <c r="F36" s="3"/>
      <c r="G36" s="8"/>
      <c r="H36" s="4"/>
      <c r="I36" s="2"/>
      <c r="J36" s="2"/>
      <c r="K36" s="2"/>
    </row>
    <row r="37" spans="4:11" x14ac:dyDescent="0.3">
      <c r="D37" s="3"/>
      <c r="E37" s="5"/>
      <c r="F37" s="3"/>
      <c r="G37" s="8"/>
      <c r="H37" s="4"/>
      <c r="I37" s="2"/>
      <c r="J37" s="2"/>
      <c r="K37" s="2"/>
    </row>
    <row r="38" spans="4:11" x14ac:dyDescent="0.3">
      <c r="D38" s="3"/>
      <c r="E38" s="5"/>
      <c r="F38" s="3"/>
      <c r="G38" s="8"/>
      <c r="H38" s="4"/>
      <c r="I38" s="2"/>
      <c r="J38" s="2"/>
      <c r="K38" s="2"/>
    </row>
    <row r="39" spans="4:11" x14ac:dyDescent="0.3">
      <c r="D39" s="3"/>
      <c r="E39" s="5"/>
      <c r="F39" s="3"/>
      <c r="G39" s="8"/>
      <c r="H39" s="4"/>
      <c r="I39" s="2"/>
      <c r="J39" s="2"/>
      <c r="K39" s="2"/>
    </row>
    <row r="40" spans="4:11" x14ac:dyDescent="0.3">
      <c r="D40" s="3"/>
      <c r="E40" s="5"/>
      <c r="F40" s="3"/>
      <c r="G40" s="8"/>
      <c r="H40" s="4"/>
      <c r="I40" s="2"/>
      <c r="J40" s="2"/>
      <c r="K40" s="2"/>
    </row>
    <row r="41" spans="4:11" x14ac:dyDescent="0.3">
      <c r="D41" s="3"/>
      <c r="E41" s="5"/>
      <c r="F41" s="3"/>
      <c r="G41" s="8"/>
      <c r="H41" s="4"/>
      <c r="I41" s="2"/>
      <c r="J41" s="2"/>
      <c r="K41" s="2"/>
    </row>
    <row r="42" spans="4:11" x14ac:dyDescent="0.3">
      <c r="D42" s="3"/>
      <c r="E42" s="5"/>
      <c r="F42" s="3"/>
      <c r="G42" s="8"/>
      <c r="H42" s="4"/>
      <c r="I42" s="2"/>
      <c r="J42" s="2"/>
      <c r="K42" s="2"/>
    </row>
    <row r="43" spans="4:11" x14ac:dyDescent="0.3">
      <c r="D43" s="3"/>
      <c r="E43" s="5"/>
      <c r="F43" s="3"/>
      <c r="G43" s="8"/>
      <c r="H43" s="4"/>
      <c r="I43" s="2"/>
      <c r="J43" s="2"/>
      <c r="K43" s="2"/>
    </row>
    <row r="44" spans="4:11" x14ac:dyDescent="0.3">
      <c r="D44" s="3"/>
      <c r="E44" s="5"/>
      <c r="F44" s="3"/>
      <c r="G44" s="8"/>
      <c r="H44" s="4"/>
      <c r="I44" s="2"/>
      <c r="J44" s="2"/>
      <c r="K44" s="2"/>
    </row>
    <row r="45" spans="4:11" x14ac:dyDescent="0.3">
      <c r="I45" s="2"/>
      <c r="J45" s="2"/>
      <c r="K45" s="2"/>
    </row>
  </sheetData>
  <pageMargins left="0.7" right="0.7" top="0.75" bottom="0.75" header="0.3" footer="0.3"/>
  <pageSetup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Sheet2</vt:lpstr>
      <vt:lpstr>Workings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shraddha ade</dc:creator>
  <cp:lastModifiedBy>shraddha ade</cp:lastModifiedBy>
  <cp:lastPrinted>2023-01-14T11:37:15Z</cp:lastPrinted>
  <dcterms:created xsi:type="dcterms:W3CDTF">2022-12-14T10:45:08Z</dcterms:created>
  <dcterms:modified xsi:type="dcterms:W3CDTF">2023-01-14T12:00:14Z</dcterms:modified>
</cp:coreProperties>
</file>